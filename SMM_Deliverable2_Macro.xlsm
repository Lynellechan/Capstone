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UL User\Documents\Python Notebooks\Capstone\misc\Excel\"/>
    </mc:Choice>
  </mc:AlternateContent>
  <bookViews>
    <workbookView xWindow="0" yWindow="0" windowWidth="18624" windowHeight="7044" activeTab="1"/>
  </bookViews>
  <sheets>
    <sheet name="Results" sheetId="8" r:id="rId1"/>
    <sheet name="Scorecard" sheetId="3" r:id="rId2"/>
    <sheet name="Index - Oldest Map" sheetId="1" r:id="rId3"/>
    <sheet name="Index-Most Players" sheetId="2" r:id="rId4"/>
    <sheet name="Index-Most Clears" sheetId="5" r:id="rId5"/>
    <sheet name="Index-Most Attempts" sheetId="4" r:id="rId6"/>
    <sheet name="Most Stars" sheetId="6" r:id="rId7"/>
    <sheet name="Master Sheet" sheetId="7" r:id="rId8"/>
  </sheets>
  <definedNames>
    <definedName name="_xlnm._FilterDatabase" localSheetId="5" hidden="1">'Index-Most Attempts'!$A$2:$E$27</definedName>
    <definedName name="_xlnm._FilterDatabase" localSheetId="6" hidden="1">'Most Stars'!$A$2:$E$27</definedName>
    <definedName name="_xlnm._FilterDatabase" localSheetId="1" hidden="1">Scorecard!$G$3:$I$61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13" i="3"/>
  <c r="F29" i="3"/>
  <c r="F22" i="3"/>
  <c r="F37" i="3"/>
  <c r="F17" i="3"/>
  <c r="F47" i="3"/>
  <c r="F50" i="3"/>
  <c r="F56" i="3"/>
  <c r="F23" i="3"/>
  <c r="F30" i="3"/>
  <c r="F31" i="3"/>
  <c r="F48" i="3"/>
  <c r="F41" i="3"/>
  <c r="F28" i="3"/>
  <c r="F24" i="3"/>
  <c r="F32" i="3"/>
  <c r="F34" i="3"/>
  <c r="F36" i="3"/>
  <c r="F38" i="3"/>
  <c r="F40" i="3"/>
  <c r="F54" i="3"/>
  <c r="F45" i="3"/>
  <c r="F52" i="3"/>
  <c r="F49" i="3"/>
  <c r="F42" i="3"/>
  <c r="F51" i="3"/>
  <c r="F57" i="3"/>
  <c r="F60" i="3"/>
  <c r="F35" i="3"/>
  <c r="F39" i="3"/>
  <c r="F53" i="3"/>
  <c r="F55" i="3"/>
  <c r="F59" i="3"/>
  <c r="E59" i="3"/>
  <c r="E61" i="3"/>
  <c r="D59" i="3"/>
  <c r="D61" i="3"/>
  <c r="C59" i="3"/>
  <c r="C61" i="3"/>
  <c r="B59" i="3"/>
  <c r="B61" i="3"/>
  <c r="E35" i="3"/>
  <c r="E46" i="3"/>
  <c r="E53" i="3"/>
  <c r="E58" i="3"/>
  <c r="D35" i="3"/>
  <c r="D39" i="3"/>
  <c r="D46" i="3"/>
  <c r="D53" i="3"/>
  <c r="D55" i="3"/>
  <c r="D58" i="3"/>
  <c r="C35" i="3"/>
  <c r="C39" i="3"/>
  <c r="C46" i="3"/>
  <c r="C53" i="3"/>
  <c r="C55" i="3"/>
  <c r="C58" i="3"/>
  <c r="B35" i="3"/>
  <c r="B39" i="3"/>
  <c r="B46" i="3"/>
  <c r="B53" i="3"/>
  <c r="B55" i="3"/>
  <c r="B58" i="3"/>
  <c r="E29" i="3"/>
  <c r="E19" i="3"/>
  <c r="E44" i="3"/>
  <c r="E47" i="3"/>
  <c r="E50" i="3"/>
  <c r="E23" i="3"/>
  <c r="E30" i="3"/>
  <c r="E31" i="3"/>
  <c r="E41" i="3"/>
  <c r="E25" i="3"/>
  <c r="E32" i="3"/>
  <c r="E33" i="3"/>
  <c r="E34" i="3"/>
  <c r="E38" i="3"/>
  <c r="E40" i="3"/>
  <c r="E45" i="3"/>
  <c r="E52" i="3"/>
  <c r="E49" i="3"/>
  <c r="E42" i="3"/>
  <c r="E51" i="3"/>
  <c r="E57" i="3"/>
  <c r="D28" i="3"/>
  <c r="D24" i="3"/>
  <c r="D32" i="3"/>
  <c r="D33" i="3"/>
  <c r="D34" i="3"/>
  <c r="D36" i="3"/>
  <c r="D38" i="3"/>
  <c r="D40" i="3"/>
  <c r="D54" i="3"/>
  <c r="D45" i="3"/>
  <c r="D52" i="3"/>
  <c r="D49" i="3"/>
  <c r="D42" i="3"/>
  <c r="D51" i="3"/>
  <c r="D57" i="3"/>
  <c r="D60" i="3"/>
  <c r="C28" i="3"/>
  <c r="C24" i="3"/>
  <c r="C32" i="3"/>
  <c r="C33" i="3"/>
  <c r="C34" i="3"/>
  <c r="C36" i="3"/>
  <c r="C38" i="3"/>
  <c r="C40" i="3"/>
  <c r="C54" i="3"/>
  <c r="C45" i="3"/>
  <c r="C52" i="3"/>
  <c r="C49" i="3"/>
  <c r="C42" i="3"/>
  <c r="C51" i="3"/>
  <c r="C57" i="3"/>
  <c r="C60" i="3"/>
  <c r="B28" i="3"/>
  <c r="B24" i="3"/>
  <c r="B32" i="3"/>
  <c r="G32" i="3" s="1"/>
  <c r="B33" i="3"/>
  <c r="B34" i="3"/>
  <c r="G34" i="3" s="1"/>
  <c r="B36" i="3"/>
  <c r="B38" i="3"/>
  <c r="G38" i="3" s="1"/>
  <c r="B40" i="3"/>
  <c r="B54" i="3"/>
  <c r="B45" i="3"/>
  <c r="B52" i="3"/>
  <c r="G52" i="3" s="1"/>
  <c r="B49" i="3"/>
  <c r="G49" i="3" s="1"/>
  <c r="B42" i="3"/>
  <c r="B51" i="3"/>
  <c r="G51" i="3" s="1"/>
  <c r="B57" i="3"/>
  <c r="G57" i="3" s="1"/>
  <c r="B60" i="3"/>
  <c r="D4" i="3"/>
  <c r="D18" i="3"/>
  <c r="D5" i="3"/>
  <c r="D8" i="3"/>
  <c r="D7" i="3"/>
  <c r="D14" i="3"/>
  <c r="D27" i="3"/>
  <c r="D9" i="3"/>
  <c r="D15" i="3"/>
  <c r="D11" i="3"/>
  <c r="D6" i="3"/>
  <c r="D16" i="3"/>
  <c r="D13" i="3"/>
  <c r="D21" i="3"/>
  <c r="D29" i="3"/>
  <c r="D22" i="3"/>
  <c r="D19" i="3"/>
  <c r="D37" i="3"/>
  <c r="D44" i="3"/>
  <c r="D17" i="3"/>
  <c r="D47" i="3"/>
  <c r="D43" i="3"/>
  <c r="D50" i="3"/>
  <c r="D56" i="3"/>
  <c r="D10" i="3"/>
  <c r="D26" i="3"/>
  <c r="D12" i="3"/>
  <c r="D23" i="3"/>
  <c r="D30" i="3"/>
  <c r="D31" i="3"/>
  <c r="D48" i="3"/>
  <c r="D41" i="3"/>
  <c r="D25" i="3"/>
  <c r="D20" i="3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" i="6"/>
  <c r="I2" i="6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F61" i="3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" i="4"/>
  <c r="I2" i="4"/>
  <c r="C3" i="4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3" i="5"/>
  <c r="C5" i="5"/>
  <c r="C6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4" i="5"/>
  <c r="C3" i="5"/>
  <c r="I2" i="5"/>
  <c r="C20" i="3"/>
  <c r="C10" i="3"/>
  <c r="C26" i="3"/>
  <c r="C12" i="3"/>
  <c r="C23" i="3"/>
  <c r="C30" i="3"/>
  <c r="C31" i="3"/>
  <c r="C48" i="3"/>
  <c r="C41" i="3"/>
  <c r="C25" i="3"/>
  <c r="B4" i="3"/>
  <c r="B18" i="3"/>
  <c r="B5" i="3"/>
  <c r="B8" i="3"/>
  <c r="B7" i="3"/>
  <c r="B14" i="3"/>
  <c r="B27" i="3"/>
  <c r="B9" i="3"/>
  <c r="B15" i="3"/>
  <c r="B11" i="3"/>
  <c r="B6" i="3"/>
  <c r="B16" i="3"/>
  <c r="B13" i="3"/>
  <c r="B21" i="3"/>
  <c r="B29" i="3"/>
  <c r="B22" i="3"/>
  <c r="B19" i="3"/>
  <c r="B37" i="3"/>
  <c r="B44" i="3"/>
  <c r="B17" i="3"/>
  <c r="B47" i="3"/>
  <c r="B43" i="3"/>
  <c r="B50" i="3"/>
  <c r="B56" i="3"/>
  <c r="B10" i="3"/>
  <c r="B26" i="3"/>
  <c r="B12" i="3"/>
  <c r="B23" i="3"/>
  <c r="G23" i="3" s="1"/>
  <c r="B30" i="3"/>
  <c r="G30" i="3" s="1"/>
  <c r="B31" i="3"/>
  <c r="B48" i="3"/>
  <c r="B41" i="3"/>
  <c r="G41" i="3" s="1"/>
  <c r="B25" i="3"/>
  <c r="B20" i="3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3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C8" i="3"/>
  <c r="C7" i="3"/>
  <c r="C14" i="3"/>
  <c r="C27" i="3"/>
  <c r="C9" i="3"/>
  <c r="C15" i="3"/>
  <c r="C11" i="3"/>
  <c r="C6" i="3"/>
  <c r="C16" i="3"/>
  <c r="C13" i="3"/>
  <c r="C21" i="3"/>
  <c r="C29" i="3"/>
  <c r="C22" i="3"/>
  <c r="C19" i="3"/>
  <c r="C37" i="3"/>
  <c r="C44" i="3"/>
  <c r="C17" i="3"/>
  <c r="C47" i="3"/>
  <c r="C43" i="3"/>
  <c r="C50" i="3"/>
  <c r="C56" i="3"/>
  <c r="C4" i="3"/>
  <c r="C18" i="3"/>
  <c r="C5" i="3"/>
  <c r="G40" i="3" l="1"/>
  <c r="G35" i="3"/>
  <c r="G42" i="3"/>
  <c r="G59" i="3"/>
  <c r="G45" i="3"/>
  <c r="G53" i="3"/>
  <c r="G50" i="3"/>
  <c r="G29" i="3"/>
  <c r="G31" i="3"/>
  <c r="G47" i="3"/>
  <c r="G61" i="3"/>
  <c r="F58" i="3"/>
  <c r="G58" i="3" s="1"/>
  <c r="F27" i="3"/>
  <c r="F43" i="3"/>
  <c r="F21" i="3"/>
  <c r="F14" i="3"/>
  <c r="F33" i="3"/>
  <c r="G33" i="3" s="1"/>
  <c r="F7" i="3"/>
  <c r="F46" i="3"/>
  <c r="G46" i="3" s="1"/>
  <c r="F16" i="3"/>
  <c r="F8" i="3"/>
  <c r="F12" i="3"/>
  <c r="F44" i="3"/>
  <c r="G44" i="3" s="1"/>
  <c r="F6" i="3"/>
  <c r="F5" i="3"/>
  <c r="F20" i="3"/>
  <c r="F26" i="3"/>
  <c r="F11" i="3"/>
  <c r="F18" i="3"/>
  <c r="F25" i="3"/>
  <c r="G25" i="3" s="1"/>
  <c r="F10" i="3"/>
  <c r="F19" i="3"/>
  <c r="G19" i="3" s="1"/>
  <c r="F15" i="3"/>
  <c r="F4" i="3"/>
  <c r="C4" i="4"/>
  <c r="C5" i="4" l="1"/>
  <c r="C6" i="4" l="1"/>
  <c r="E5" i="3"/>
  <c r="G5" i="3" s="1"/>
  <c r="C7" i="4" l="1"/>
  <c r="E20" i="3" s="1"/>
  <c r="G20" i="3" s="1"/>
  <c r="E8" i="3"/>
  <c r="G8" i="3" s="1"/>
  <c r="C8" i="4" l="1"/>
  <c r="E7" i="3" s="1"/>
  <c r="G7" i="3" s="1"/>
  <c r="E4" i="3"/>
  <c r="G4" i="3" s="1"/>
  <c r="C9" i="4" l="1"/>
  <c r="E9" i="3"/>
  <c r="G9" i="3" s="1"/>
  <c r="C10" i="4" l="1"/>
  <c r="E27" i="3" s="1"/>
  <c r="G27" i="3" s="1"/>
  <c r="E12" i="3"/>
  <c r="G12" i="3" s="1"/>
  <c r="C11" i="4" l="1"/>
  <c r="C12" i="4" l="1"/>
  <c r="E6" i="3" s="1"/>
  <c r="G6" i="3" s="1"/>
  <c r="E10" i="3"/>
  <c r="G10" i="3" s="1"/>
  <c r="C13" i="4" l="1"/>
  <c r="E11" i="3" s="1"/>
  <c r="G11" i="3" s="1"/>
  <c r="C14" i="4" l="1"/>
  <c r="E37" i="3" s="1"/>
  <c r="G37" i="3" s="1"/>
  <c r="E14" i="3"/>
  <c r="G14" i="3" s="1"/>
  <c r="C15" i="4" l="1"/>
  <c r="E15" i="3" s="1"/>
  <c r="G15" i="3" s="1"/>
  <c r="E22" i="3"/>
  <c r="G22" i="3" s="1"/>
  <c r="C16" i="4" l="1"/>
  <c r="E13" i="3"/>
  <c r="G13" i="3" s="1"/>
  <c r="C17" i="4" l="1"/>
  <c r="E21" i="3" s="1"/>
  <c r="G21" i="3" s="1"/>
  <c r="E48" i="3"/>
  <c r="G48" i="3" s="1"/>
  <c r="C18" i="4"/>
  <c r="C19" i="4" s="1"/>
  <c r="E18" i="3"/>
  <c r="G18" i="3" s="1"/>
  <c r="C20" i="4" l="1"/>
  <c r="E16" i="3"/>
  <c r="G16" i="3" s="1"/>
  <c r="C21" i="4" l="1"/>
  <c r="E17" i="3" s="1"/>
  <c r="G17" i="3" s="1"/>
  <c r="E26" i="3"/>
  <c r="G26" i="3" s="1"/>
  <c r="C22" i="4" l="1"/>
  <c r="E24" i="3"/>
  <c r="G24" i="3" s="1"/>
  <c r="C23" i="4" l="1"/>
  <c r="E56" i="3" s="1"/>
  <c r="G56" i="3" s="1"/>
  <c r="E54" i="3"/>
  <c r="G54" i="3" s="1"/>
  <c r="C24" i="4"/>
  <c r="E28" i="3"/>
  <c r="G28" i="3" s="1"/>
  <c r="C25" i="4" l="1"/>
  <c r="E60" i="3"/>
  <c r="G60" i="3" s="1"/>
  <c r="C26" i="4" l="1"/>
  <c r="E39" i="3"/>
  <c r="G39" i="3" s="1"/>
  <c r="C27" i="4" l="1"/>
  <c r="E55" i="3"/>
  <c r="G55" i="3" s="1"/>
  <c r="E43" i="3" l="1"/>
  <c r="G43" i="3" s="1"/>
  <c r="E36" i="3"/>
  <c r="G36" i="3" s="1"/>
  <c r="I4" i="3" s="1"/>
  <c r="I14" i="3" l="1"/>
  <c r="I21" i="3"/>
  <c r="I43" i="3"/>
  <c r="I27" i="3" l="1"/>
  <c r="I7" i="3"/>
  <c r="I54" i="3"/>
  <c r="I37" i="3"/>
  <c r="I61" i="3"/>
  <c r="I59" i="3"/>
  <c r="I19" i="3"/>
  <c r="I26" i="3"/>
  <c r="I16" i="3"/>
  <c r="I9" i="3"/>
  <c r="I41" i="3"/>
  <c r="I53" i="3"/>
  <c r="I40" i="3"/>
  <c r="I55" i="3"/>
  <c r="I47" i="3"/>
  <c r="I56" i="3"/>
  <c r="I29" i="3"/>
  <c r="I31" i="3"/>
  <c r="I34" i="3"/>
  <c r="I46" i="3"/>
  <c r="I33" i="3"/>
  <c r="I15" i="3"/>
  <c r="I18" i="3"/>
  <c r="I44" i="3"/>
  <c r="I48" i="3"/>
  <c r="I8" i="3"/>
  <c r="I32" i="3"/>
  <c r="I17" i="3"/>
  <c r="I60" i="3"/>
  <c r="I28" i="3"/>
  <c r="I39" i="3"/>
  <c r="I10" i="3"/>
  <c r="I45" i="3"/>
  <c r="I5" i="3"/>
  <c r="I57" i="3"/>
  <c r="I13" i="3"/>
  <c r="I12" i="3"/>
  <c r="I36" i="3"/>
  <c r="I23" i="3"/>
  <c r="I24" i="3"/>
  <c r="I35" i="3"/>
  <c r="I50" i="3"/>
  <c r="I11" i="3"/>
  <c r="I38" i="3"/>
  <c r="I51" i="3"/>
  <c r="I6" i="3"/>
  <c r="I30" i="3"/>
  <c r="I49" i="3"/>
  <c r="I22" i="3"/>
  <c r="I58" i="3"/>
  <c r="I42" i="3"/>
  <c r="I25" i="3"/>
  <c r="I20" i="3"/>
  <c r="I52" i="3"/>
  <c r="B45" i="8" l="1"/>
  <c r="B12" i="8"/>
  <c r="B29" i="8"/>
  <c r="B43" i="8"/>
  <c r="B21" i="8"/>
  <c r="B5" i="8"/>
  <c r="B26" i="8"/>
  <c r="B50" i="8"/>
  <c r="B30" i="8"/>
  <c r="B17" i="8"/>
  <c r="B52" i="8"/>
  <c r="B35" i="8"/>
  <c r="B18" i="8"/>
  <c r="B22" i="8"/>
  <c r="B47" i="8"/>
  <c r="B44" i="8"/>
  <c r="B27" i="8"/>
  <c r="B39" i="8"/>
  <c r="B14" i="8"/>
  <c r="B53" i="8"/>
  <c r="B41" i="8"/>
  <c r="B38" i="8"/>
  <c r="B33" i="8"/>
  <c r="B48" i="8"/>
  <c r="B36" i="8"/>
  <c r="B16" i="8"/>
  <c r="B51" i="8"/>
  <c r="B34" i="8"/>
  <c r="B40" i="8"/>
  <c r="B31" i="8"/>
  <c r="B6" i="8"/>
  <c r="B37" i="8"/>
  <c r="B28" i="8"/>
  <c r="B19" i="8"/>
  <c r="B15" i="8"/>
  <c r="B32" i="8"/>
  <c r="B23" i="8"/>
  <c r="B42" i="8"/>
  <c r="B13" i="8"/>
  <c r="B20" i="8"/>
  <c r="B49" i="8"/>
  <c r="B11" i="8"/>
  <c r="B24" i="8"/>
  <c r="B4" i="8"/>
  <c r="B10" i="8"/>
  <c r="B9" i="8"/>
  <c r="B46" i="8"/>
  <c r="B8" i="8"/>
  <c r="B25" i="8"/>
  <c r="B7" i="8"/>
</calcChain>
</file>

<file path=xl/sharedStrings.xml><?xml version="1.0" encoding="utf-8"?>
<sst xmlns="http://schemas.openxmlformats.org/spreadsheetml/2006/main" count="227" uniqueCount="85">
  <si>
    <t>Map id</t>
  </si>
  <si>
    <t>92A4-0000-0313-0C32</t>
  </si>
  <si>
    <t>140E-0000-0321-38D6</t>
  </si>
  <si>
    <t>2B8D-0000-0312-9D77</t>
  </si>
  <si>
    <t>9FC1-0000-033D-EEA1</t>
  </si>
  <si>
    <t>1F6D-0000-0331-75D7</t>
  </si>
  <si>
    <t>345E-0000-034A-976E</t>
  </si>
  <si>
    <t>67CF-0000-035F-BC1D</t>
  </si>
  <si>
    <t>0712-0000-0357-84B1</t>
  </si>
  <si>
    <t>2037-0000-0358-068D</t>
  </si>
  <si>
    <t>CEB8-0000-0353-A31E</t>
  </si>
  <si>
    <t>BAC8-0000-036A-7EE1</t>
  </si>
  <si>
    <t>DE4D-0000-035D-3AE1</t>
  </si>
  <si>
    <t>9C75-0000-0362-33D2</t>
  </si>
  <si>
    <t>F44D-0000-035E-496C</t>
  </si>
  <si>
    <t>F063-0000-0368-BB3E</t>
  </si>
  <si>
    <t>F898-0000-0382-E5FE</t>
  </si>
  <si>
    <t>0230-0000-0386-B51F</t>
  </si>
  <si>
    <t>FA2B-0000-0387-ADB4</t>
  </si>
  <si>
    <t>A4E1-0000-038D-0EBC</t>
  </si>
  <si>
    <t>3537-0000-038D-8BA8</t>
  </si>
  <si>
    <t>D00C-0000-038C-FCD0</t>
  </si>
  <si>
    <t>CFD6-0000-038E-13C7</t>
  </si>
  <si>
    <t>8157-0000-038E-4B85</t>
  </si>
  <si>
    <t>CE94-0000-038F-7559</t>
  </si>
  <si>
    <t>5AB9-0000-038F-A23E</t>
  </si>
  <si>
    <t>Median number of days</t>
  </si>
  <si>
    <t>Rank</t>
  </si>
  <si>
    <t>Oldest Maps Created Median</t>
  </si>
  <si>
    <t>Score</t>
  </si>
  <si>
    <t>632D-0000-0329-503E</t>
  </si>
  <si>
    <t>6B04-0000-0315-CC87</t>
  </si>
  <si>
    <t>A750-0000-032D-6933</t>
  </si>
  <si>
    <t>6442-0000-0349-06A4</t>
  </si>
  <si>
    <t>A16B-0000-0382-F17E</t>
  </si>
  <si>
    <t>B68E-0000-036E-0BA8</t>
  </si>
  <si>
    <t>6F7D-0000-0367-3858</t>
  </si>
  <si>
    <t>C989-0000-0361-C805</t>
  </si>
  <si>
    <t>3373-0000-0306-81B8</t>
  </si>
  <si>
    <t>Players</t>
  </si>
  <si>
    <t>Scorecard</t>
  </si>
  <si>
    <t>Map ID</t>
  </si>
  <si>
    <t>Needs to be added?</t>
  </si>
  <si>
    <t>Oldest Map</t>
  </si>
  <si>
    <t>Need to be added?</t>
  </si>
  <si>
    <t>7769-0000-0334-DE00</t>
  </si>
  <si>
    <t>EEA0-0000-0342-1F7D</t>
  </si>
  <si>
    <t>39EE-0000-0332-CD7A</t>
  </si>
  <si>
    <t>618C-0000-0345-3D5C</t>
  </si>
  <si>
    <t>4D36-0000-0317-5486</t>
  </si>
  <si>
    <t>B0FD-0000-031D-9C8C</t>
  </si>
  <si>
    <t>F983-0000-0338-3C3E</t>
  </si>
  <si>
    <t>2C46-0000-034D-EBDA</t>
  </si>
  <si>
    <t>6204-0000-033E-B8E0</t>
  </si>
  <si>
    <t>D1AF-0000-031A-8678</t>
  </si>
  <si>
    <t>F7F5-0000-033F-72FA</t>
  </si>
  <si>
    <t>4D72-0000-0311-B577</t>
  </si>
  <si>
    <t>F1B8-0000-0320-E259</t>
  </si>
  <si>
    <t>561C-0000-0333-0588</t>
  </si>
  <si>
    <t>BC79-0000-0301-6D78</t>
  </si>
  <si>
    <t>D930-0000-033D-CCE1</t>
  </si>
  <si>
    <t>Total Clears</t>
  </si>
  <si>
    <t>Number of Rows</t>
  </si>
  <si>
    <t>EDC4-0000-0388-F160</t>
  </si>
  <si>
    <t>417A-0000-0389-57A3</t>
  </si>
  <si>
    <t>CBB0-0000-0329-CA7C</t>
  </si>
  <si>
    <t>D627-0000-038E-746C</t>
  </si>
  <si>
    <t>BB7B-0000-036F-A4EE</t>
  </si>
  <si>
    <t>5DF0-0000-031D-6CA5</t>
  </si>
  <si>
    <t>Most Attempts</t>
  </si>
  <si>
    <t>Attempts</t>
  </si>
  <si>
    <t>Total Rows</t>
  </si>
  <si>
    <t>Need to Add to Scorecard?</t>
  </si>
  <si>
    <t>Title</t>
  </si>
  <si>
    <t>Column 2 Title</t>
  </si>
  <si>
    <t>CA3F-0000-0340-28E0</t>
  </si>
  <si>
    <t>D948-0000-0377-F490</t>
  </si>
  <si>
    <t>Most Stars</t>
  </si>
  <si>
    <t>Column 1 Title</t>
  </si>
  <si>
    <t>Number of Stars</t>
  </si>
  <si>
    <t>Clears</t>
  </si>
  <si>
    <t>Stars</t>
  </si>
  <si>
    <t>Total Score</t>
  </si>
  <si>
    <t>Top Scored Courses</t>
  </si>
  <si>
    <t>Total Overall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</si>
</sst>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OCR A Extended"/>
      <family val="3"/>
    </font>
    <font>
      <sz val="8"/>
      <color rgb="FF000000"/>
      <name val="OCR A Extended"/>
      <family val="3"/>
    </font>
    <font>
      <sz val="11"/>
      <color rgb="FF000000"/>
      <name val="Calibri"/>
      <family val="2"/>
    </font>
    <font>
      <sz val="11"/>
      <color theme="1"/>
      <name val="OCR A Extended"/>
      <family val="3"/>
    </font>
    <font>
      <sz val="11"/>
      <color rgb="FF000000"/>
      <name val="OCR A Extended"/>
      <family val="3"/>
    </font>
    <font>
      <b/>
      <sz val="14"/>
      <color theme="1"/>
      <name val="OCR A Extended"/>
      <family val="3"/>
    </font>
    <font>
      <b/>
      <u/>
      <sz val="11"/>
      <color theme="1"/>
      <name val="OCR A Extended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64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horizontal="left"/>
    </xf>
    <xf numFmtId="0" fontId="2" fillId="0" borderId="0" xfId="0" quotePrefix="1" applyFont="1" applyAlignment="1">
      <alignment horizontal="left" vertical="top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2" borderId="0" xfId="0" applyFill="1"/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5" fillId="2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</xdr:row>
          <xdr:rowOff>7620</xdr:rowOff>
        </xdr:from>
        <xdr:to>
          <xdr:col>16</xdr:col>
          <xdr:colOff>601980</xdr:colOff>
          <xdr:row>3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</xdr:row>
          <xdr:rowOff>7620</xdr:rowOff>
        </xdr:from>
        <xdr:to>
          <xdr:col>16</xdr:col>
          <xdr:colOff>601980</xdr:colOff>
          <xdr:row>3</xdr:row>
          <xdr:rowOff>7620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"/>
  <sheetViews>
    <sheetView topLeftCell="A13" workbookViewId="0">
      <selection activeCell="B4" sqref="B4:B53"/>
    </sheetView>
  </sheetViews>
  <sheetFormatPr defaultRowHeight="14.4" x14ac:dyDescent="0.3"/>
  <cols>
    <col min="2" max="2" width="19.44140625" bestFit="1" customWidth="1"/>
    <col min="3" max="3" width="16.5546875" bestFit="1" customWidth="1"/>
  </cols>
  <sheetData>
    <row r="1" spans="1:6" x14ac:dyDescent="0.3">
      <c r="A1" s="6" t="s">
        <v>83</v>
      </c>
      <c r="B1" s="6"/>
      <c r="C1" s="6"/>
      <c r="D1" s="6"/>
      <c r="E1" s="6"/>
      <c r="F1" s="6"/>
    </row>
    <row r="3" spans="1:6" x14ac:dyDescent="0.3">
      <c r="A3" t="s">
        <v>27</v>
      </c>
      <c r="B3" t="s">
        <v>41</v>
      </c>
      <c r="C3" t="s">
        <v>84</v>
      </c>
    </row>
    <row r="4" spans="1:6" x14ac:dyDescent="0.3">
      <c r="A4">
        <v>1</v>
      </c>
      <c r="B4" t="str">
        <f>INDEX(Scorecard!A:A,MATCH(Results!$A4,Scorecard!I:I,0))</f>
        <v>92A4-0000-0313-0C32</v>
      </c>
    </row>
    <row r="5" spans="1:6" x14ac:dyDescent="0.3">
      <c r="A5">
        <v>2</v>
      </c>
      <c r="B5" t="str">
        <f>INDEX(Scorecard!A:A,MATCH(Results!$A5,Scorecard!I:I,0))</f>
        <v>140E-0000-0321-38D6</v>
      </c>
    </row>
    <row r="6" spans="1:6" x14ac:dyDescent="0.3">
      <c r="A6">
        <v>3</v>
      </c>
      <c r="B6" t="str">
        <f>INDEX(Scorecard!A:A,MATCH(Results!$A6,Scorecard!I:I,0))</f>
        <v>2B8D-0000-0312-9D77</v>
      </c>
    </row>
    <row r="7" spans="1:6" x14ac:dyDescent="0.3">
      <c r="A7">
        <v>4</v>
      </c>
      <c r="B7" t="str">
        <f>INDEX(Scorecard!A:A,MATCH(Results!$A7,Scorecard!I:I,0))</f>
        <v>9FC1-0000-033D-EEA1</v>
      </c>
    </row>
    <row r="8" spans="1:6" x14ac:dyDescent="0.3">
      <c r="A8">
        <v>5</v>
      </c>
      <c r="B8" t="str">
        <f>INDEX(Scorecard!A:A,MATCH(Results!$A8,Scorecard!I:I,0))</f>
        <v>1F6D-0000-0331-75D7</v>
      </c>
    </row>
    <row r="9" spans="1:6" x14ac:dyDescent="0.3">
      <c r="A9">
        <v>6</v>
      </c>
      <c r="B9" t="str">
        <f>INDEX(Scorecard!A:A,MATCH(Results!$A9,Scorecard!I:I,0))</f>
        <v>345E-0000-034A-976E</v>
      </c>
    </row>
    <row r="10" spans="1:6" x14ac:dyDescent="0.3">
      <c r="A10">
        <v>7</v>
      </c>
      <c r="B10" t="str">
        <f>INDEX(Scorecard!A:A,MATCH(Results!$A10,Scorecard!I:I,0))</f>
        <v>67CF-0000-035F-BC1D</v>
      </c>
    </row>
    <row r="11" spans="1:6" x14ac:dyDescent="0.3">
      <c r="A11">
        <v>8</v>
      </c>
      <c r="B11" t="str">
        <f>INDEX(Scorecard!A:A,MATCH(Results!$A11,Scorecard!I:I,0))</f>
        <v>0712-0000-0357-84B1</v>
      </c>
    </row>
    <row r="12" spans="1:6" x14ac:dyDescent="0.3">
      <c r="A12">
        <v>9</v>
      </c>
      <c r="B12" t="str">
        <f>INDEX(Scorecard!A:A,MATCH(Results!$A12,Scorecard!I:I,0))</f>
        <v>2037-0000-0358-068D</v>
      </c>
    </row>
    <row r="13" spans="1:6" x14ac:dyDescent="0.3">
      <c r="A13">
        <v>10</v>
      </c>
      <c r="B13" t="str">
        <f>INDEX(Scorecard!A:A,MATCH(Results!$A13,Scorecard!I:I,0))</f>
        <v>CEB8-0000-0353-A31E</v>
      </c>
    </row>
    <row r="14" spans="1:6" x14ac:dyDescent="0.3">
      <c r="A14">
        <v>11</v>
      </c>
      <c r="B14" t="str">
        <f>INDEX(Scorecard!A:A,MATCH(Results!$A14,Scorecard!I:I,0))</f>
        <v>BAC8-0000-036A-7EE1</v>
      </c>
    </row>
    <row r="15" spans="1:6" x14ac:dyDescent="0.3">
      <c r="A15">
        <v>12</v>
      </c>
      <c r="B15" t="str">
        <f>INDEX(Scorecard!A:A,MATCH(Results!$A15,Scorecard!I:I,0))</f>
        <v>DE4D-0000-035D-3AE1</v>
      </c>
    </row>
    <row r="16" spans="1:6" x14ac:dyDescent="0.3">
      <c r="A16">
        <v>13</v>
      </c>
      <c r="B16" t="str">
        <f>INDEX(Scorecard!A:A,MATCH(Results!$A16,Scorecard!I:I,0))</f>
        <v>9C75-0000-0362-33D2</v>
      </c>
    </row>
    <row r="17" spans="1:2" x14ac:dyDescent="0.3">
      <c r="A17">
        <v>14</v>
      </c>
      <c r="B17" t="str">
        <f>INDEX(Scorecard!A:A,MATCH(Results!$A17,Scorecard!I:I,0))</f>
        <v>8157-0000-038E-4B85</v>
      </c>
    </row>
    <row r="18" spans="1:2" x14ac:dyDescent="0.3">
      <c r="A18">
        <v>15</v>
      </c>
      <c r="B18" t="str">
        <f>INDEX(Scorecard!A:A,MATCH(Results!$A18,Scorecard!I:I,0))</f>
        <v>F063-0000-0368-BB3E</v>
      </c>
    </row>
    <row r="19" spans="1:2" x14ac:dyDescent="0.3">
      <c r="A19">
        <v>16</v>
      </c>
      <c r="B19" t="str">
        <f>INDEX(Scorecard!A:A,MATCH(Results!$A19,Scorecard!I:I,0))</f>
        <v>3373-0000-0306-81B8</v>
      </c>
    </row>
    <row r="20" spans="1:2" x14ac:dyDescent="0.3">
      <c r="A20">
        <v>17</v>
      </c>
      <c r="B20" t="str">
        <f>INDEX(Scorecard!A:A,MATCH(Results!$A20,Scorecard!I:I,0))</f>
        <v>0230-0000-0386-B51F</v>
      </c>
    </row>
    <row r="21" spans="1:2" x14ac:dyDescent="0.3">
      <c r="A21">
        <v>18</v>
      </c>
      <c r="B21" t="str">
        <f>INDEX(Scorecard!A:A,MATCH(Results!$A21,Scorecard!I:I,0))</f>
        <v>FA2B-0000-0387-ADB4</v>
      </c>
    </row>
    <row r="22" spans="1:2" x14ac:dyDescent="0.3">
      <c r="A22">
        <v>19</v>
      </c>
      <c r="B22" t="e">
        <f>INDEX(Scorecard!A:A,MATCH(Results!$A22,Scorecard!I:I,0))</f>
        <v>#N/A</v>
      </c>
    </row>
    <row r="23" spans="1:2" x14ac:dyDescent="0.3">
      <c r="A23">
        <v>20</v>
      </c>
      <c r="B23" t="e">
        <f>INDEX(Scorecard!A:A,MATCH(Results!$A23,Scorecard!I:I,0))</f>
        <v>#N/A</v>
      </c>
    </row>
    <row r="24" spans="1:2" x14ac:dyDescent="0.3">
      <c r="A24">
        <v>21</v>
      </c>
      <c r="B24" t="str">
        <f>INDEX(Scorecard!A:A,MATCH(Results!$A24,Scorecard!I:I,0))</f>
        <v>D00C-0000-038C-FCD0</v>
      </c>
    </row>
    <row r="25" spans="1:2" x14ac:dyDescent="0.3">
      <c r="A25">
        <v>22</v>
      </c>
      <c r="B25" t="str">
        <f>INDEX(Scorecard!A:A,MATCH(Results!$A25,Scorecard!I:I,0))</f>
        <v>5AB9-0000-038F-A23E</v>
      </c>
    </row>
    <row r="26" spans="1:2" x14ac:dyDescent="0.3">
      <c r="A26">
        <v>23</v>
      </c>
      <c r="B26" t="str">
        <f>INDEX(Scorecard!A:A,MATCH(Results!$A26,Scorecard!I:I,0))</f>
        <v>CBB0-0000-0329-CA7C</v>
      </c>
    </row>
    <row r="27" spans="1:2" x14ac:dyDescent="0.3">
      <c r="A27">
        <v>24</v>
      </c>
      <c r="B27" t="str">
        <f>INDEX(Scorecard!A:A,MATCH(Results!$A27,Scorecard!I:I,0))</f>
        <v>CFD6-0000-038E-13C7</v>
      </c>
    </row>
    <row r="28" spans="1:2" x14ac:dyDescent="0.3">
      <c r="A28">
        <v>25</v>
      </c>
      <c r="B28" t="e">
        <f>INDEX(Scorecard!A:A,MATCH(Results!$A28,Scorecard!I:I,0))</f>
        <v>#N/A</v>
      </c>
    </row>
    <row r="29" spans="1:2" x14ac:dyDescent="0.3">
      <c r="A29">
        <v>26</v>
      </c>
      <c r="B29" t="str">
        <f>INDEX(Scorecard!A:A,MATCH(Results!$A29,Scorecard!I:I,0))</f>
        <v>632D-0000-0329-503E</v>
      </c>
    </row>
    <row r="30" spans="1:2" x14ac:dyDescent="0.3">
      <c r="A30">
        <v>27</v>
      </c>
      <c r="B30" t="e">
        <f>INDEX(Scorecard!A:A,MATCH(Results!$A30,Scorecard!I:I,0))</f>
        <v>#N/A</v>
      </c>
    </row>
    <row r="31" spans="1:2" x14ac:dyDescent="0.3">
      <c r="A31">
        <v>28</v>
      </c>
      <c r="B31" t="str">
        <f>INDEX(Scorecard!A:A,MATCH(Results!$A31,Scorecard!I:I,0))</f>
        <v>A750-0000-032D-6933</v>
      </c>
    </row>
    <row r="32" spans="1:2" x14ac:dyDescent="0.3">
      <c r="A32">
        <v>29</v>
      </c>
      <c r="B32" t="e">
        <f>INDEX(Scorecard!A:A,MATCH(Results!$A32,Scorecard!I:I,0))</f>
        <v>#N/A</v>
      </c>
    </row>
    <row r="33" spans="1:2" x14ac:dyDescent="0.3">
      <c r="A33">
        <v>30</v>
      </c>
      <c r="B33" t="str">
        <f>INDEX(Scorecard!A:A,MATCH(Results!$A33,Scorecard!I:I,0))</f>
        <v>A16B-0000-0382-F17E</v>
      </c>
    </row>
    <row r="34" spans="1:2" x14ac:dyDescent="0.3">
      <c r="A34">
        <v>31</v>
      </c>
      <c r="B34" t="str">
        <f>INDEX(Scorecard!A:A,MATCH(Results!$A34,Scorecard!I:I,0))</f>
        <v>B68E-0000-036E-0BA8</v>
      </c>
    </row>
    <row r="35" spans="1:2" x14ac:dyDescent="0.3">
      <c r="A35">
        <v>32</v>
      </c>
      <c r="B35" t="e">
        <f>INDEX(Scorecard!A:A,MATCH(Results!$A35,Scorecard!I:I,0))</f>
        <v>#N/A</v>
      </c>
    </row>
    <row r="36" spans="1:2" x14ac:dyDescent="0.3">
      <c r="A36">
        <v>33</v>
      </c>
      <c r="B36" t="str">
        <f>INDEX(Scorecard!A:A,MATCH(Results!$A36,Scorecard!I:I,0))</f>
        <v>C989-0000-0361-C805</v>
      </c>
    </row>
    <row r="37" spans="1:2" x14ac:dyDescent="0.3">
      <c r="A37">
        <v>34</v>
      </c>
      <c r="B37" t="str">
        <f>INDEX(Scorecard!A:A,MATCH(Results!$A37,Scorecard!I:I,0))</f>
        <v>EEA0-0000-0342-1F7D</v>
      </c>
    </row>
    <row r="38" spans="1:2" x14ac:dyDescent="0.3">
      <c r="A38">
        <v>35</v>
      </c>
      <c r="B38" t="e">
        <f>INDEX(Scorecard!A:A,MATCH(Results!$A38,Scorecard!I:I,0))</f>
        <v>#N/A</v>
      </c>
    </row>
    <row r="39" spans="1:2" x14ac:dyDescent="0.3">
      <c r="A39">
        <v>36</v>
      </c>
      <c r="B39" t="e">
        <f>INDEX(Scorecard!A:A,MATCH(Results!$A39,Scorecard!I:I,0))</f>
        <v>#N/A</v>
      </c>
    </row>
    <row r="40" spans="1:2" x14ac:dyDescent="0.3">
      <c r="A40">
        <v>37</v>
      </c>
      <c r="B40" t="str">
        <f>INDEX(Scorecard!A:A,MATCH(Results!$A40,Scorecard!I:I,0))</f>
        <v>39EE-0000-0332-CD7A</v>
      </c>
    </row>
    <row r="41" spans="1:2" x14ac:dyDescent="0.3">
      <c r="A41">
        <v>38</v>
      </c>
      <c r="B41" t="str">
        <f>INDEX(Scorecard!A:A,MATCH(Results!$A41,Scorecard!I:I,0))</f>
        <v>618C-0000-0345-3D5C</v>
      </c>
    </row>
    <row r="42" spans="1:2" x14ac:dyDescent="0.3">
      <c r="A42">
        <v>39</v>
      </c>
      <c r="B42" t="e">
        <f>INDEX(Scorecard!A:A,MATCH(Results!$A42,Scorecard!I:I,0))</f>
        <v>#N/A</v>
      </c>
    </row>
    <row r="43" spans="1:2" x14ac:dyDescent="0.3">
      <c r="A43">
        <v>40</v>
      </c>
      <c r="B43" t="str">
        <f>INDEX(Scorecard!A:A,MATCH(Results!$A43,Scorecard!I:I,0))</f>
        <v>2C46-0000-034D-EBDA</v>
      </c>
    </row>
    <row r="44" spans="1:2" x14ac:dyDescent="0.3">
      <c r="A44">
        <v>41</v>
      </c>
      <c r="B44" t="str">
        <f>INDEX(Scorecard!A:A,MATCH(Results!$A44,Scorecard!I:I,0))</f>
        <v>F983-0000-0338-3C3E</v>
      </c>
    </row>
    <row r="45" spans="1:2" x14ac:dyDescent="0.3">
      <c r="A45">
        <v>42</v>
      </c>
      <c r="B45" t="e">
        <f>INDEX(Scorecard!A:A,MATCH(Results!$A45,Scorecard!I:I,0))</f>
        <v>#N/A</v>
      </c>
    </row>
    <row r="46" spans="1:2" x14ac:dyDescent="0.3">
      <c r="A46">
        <v>43</v>
      </c>
      <c r="B46" t="e">
        <f>INDEX(Scorecard!A:A,MATCH(Results!$A46,Scorecard!I:I,0))</f>
        <v>#N/A</v>
      </c>
    </row>
    <row r="47" spans="1:2" x14ac:dyDescent="0.3">
      <c r="A47">
        <v>44</v>
      </c>
      <c r="B47" t="str">
        <f>INDEX(Scorecard!A:A,MATCH(Results!$A47,Scorecard!I:I,0))</f>
        <v>F44D-0000-035E-496C</v>
      </c>
    </row>
    <row r="48" spans="1:2" x14ac:dyDescent="0.3">
      <c r="A48">
        <v>45</v>
      </c>
      <c r="B48" t="e">
        <f>INDEX(Scorecard!A:A,MATCH(Results!$A48,Scorecard!I:I,0))</f>
        <v>#N/A</v>
      </c>
    </row>
    <row r="49" spans="1:2" x14ac:dyDescent="0.3">
      <c r="A49">
        <v>46</v>
      </c>
      <c r="B49" t="e">
        <f>INDEX(Scorecard!A:A,MATCH(Results!$A49,Scorecard!I:I,0))</f>
        <v>#N/A</v>
      </c>
    </row>
    <row r="50" spans="1:2" x14ac:dyDescent="0.3">
      <c r="A50">
        <v>47</v>
      </c>
      <c r="B50" t="str">
        <f>INDEX(Scorecard!A:A,MATCH(Results!$A50,Scorecard!I:I,0))</f>
        <v>4D36-0000-0317-5486</v>
      </c>
    </row>
    <row r="51" spans="1:2" x14ac:dyDescent="0.3">
      <c r="A51">
        <v>48</v>
      </c>
      <c r="B51" t="e">
        <f>INDEX(Scorecard!A:A,MATCH(Results!$A51,Scorecard!I:I,0))</f>
        <v>#N/A</v>
      </c>
    </row>
    <row r="52" spans="1:2" x14ac:dyDescent="0.3">
      <c r="A52">
        <v>49</v>
      </c>
      <c r="B52" t="e">
        <f>INDEX(Scorecard!A:A,MATCH(Results!$A52,Scorecard!I:I,0))</f>
        <v>#N/A</v>
      </c>
    </row>
    <row r="53" spans="1:2" x14ac:dyDescent="0.3">
      <c r="A53">
        <v>50</v>
      </c>
      <c r="B53" t="e">
        <f>INDEX(Scorecard!A:A,MATCH(Results!$A53,Scorecard!I:I,0))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tabSelected="1" workbookViewId="0">
      <selection activeCell="B9" sqref="B9"/>
    </sheetView>
  </sheetViews>
  <sheetFormatPr defaultRowHeight="14.4" x14ac:dyDescent="0.3"/>
  <cols>
    <col min="1" max="1" width="24.5546875" style="14" bestFit="1" customWidth="1"/>
    <col min="2" max="2" width="13.33203125" style="14" bestFit="1" customWidth="1"/>
    <col min="3" max="3" width="9.5546875" style="14" bestFit="1" customWidth="1"/>
    <col min="4" max="4" width="8.33203125" style="14" bestFit="1" customWidth="1"/>
    <col min="5" max="5" width="10.77734375" style="14" bestFit="1" customWidth="1"/>
    <col min="6" max="6" width="7.109375" style="14" bestFit="1" customWidth="1"/>
    <col min="7" max="7" width="19" style="14" bestFit="1" customWidth="1"/>
    <col min="8" max="8" width="12.44140625" style="8" customWidth="1"/>
    <col min="9" max="16384" width="8.88671875" style="8"/>
  </cols>
  <sheetData>
    <row r="1" spans="1:9" ht="16.8" x14ac:dyDescent="0.3">
      <c r="A1" s="9" t="s">
        <v>40</v>
      </c>
      <c r="B1" s="9"/>
      <c r="C1" s="9"/>
      <c r="D1" s="9"/>
      <c r="E1" s="9"/>
      <c r="F1" s="9"/>
      <c r="G1" s="9"/>
    </row>
    <row r="2" spans="1:9" x14ac:dyDescent="0.3">
      <c r="A2" s="10"/>
      <c r="B2" s="10"/>
      <c r="C2" s="10"/>
      <c r="D2" s="10"/>
      <c r="E2" s="10"/>
      <c r="F2" s="10"/>
      <c r="G2" s="10"/>
    </row>
    <row r="3" spans="1:9" x14ac:dyDescent="0.3">
      <c r="A3" s="11" t="s">
        <v>41</v>
      </c>
      <c r="B3" s="11" t="s">
        <v>43</v>
      </c>
      <c r="C3" s="11" t="s">
        <v>39</v>
      </c>
      <c r="D3" s="11" t="s">
        <v>80</v>
      </c>
      <c r="E3" s="11" t="s">
        <v>70</v>
      </c>
      <c r="F3" s="11" t="s">
        <v>81</v>
      </c>
      <c r="G3" s="11" t="s">
        <v>82</v>
      </c>
      <c r="I3" s="8" t="s">
        <v>27</v>
      </c>
    </row>
    <row r="4" spans="1:9" ht="19.2" customHeight="1" x14ac:dyDescent="0.3">
      <c r="A4" s="12" t="s">
        <v>2</v>
      </c>
      <c r="B4" s="13">
        <f>IFERROR(INDEX('Index - Oldest Map'!$D$3:$D$28,MATCH(Scorecard!A5,'Index - Oldest Map'!$B$3:$B$27,0)),0)</f>
        <v>22</v>
      </c>
      <c r="C4" s="13">
        <f>IFERROR(INDEX('Index-Most Players'!$C:$C,MATCH(Scorecard!$A5,'Index-Most Players'!$A:$A,0)),0)</f>
        <v>24</v>
      </c>
      <c r="D4" s="13">
        <f>IFERROR(INDEX('Index-Most Clears'!C:C,MATCH(Scorecard!$A5,'Index-Most Clears'!A:A,0)),0)</f>
        <v>24</v>
      </c>
      <c r="E4" s="13">
        <f>IFERROR(INDEX('Index-Most Attempts'!C:C,MATCH(Scorecard!$A5,'Index-Most Attempts'!A:A,0)),0)</f>
        <v>23</v>
      </c>
      <c r="F4" s="13">
        <f>IFERROR(INDEX('Most Stars'!C:C,MATCH(Scorecard!$A5,'Most Stars'!A:A,0)),0)</f>
        <v>23</v>
      </c>
      <c r="G4" s="13">
        <f>SUM(B4:F4)</f>
        <v>116</v>
      </c>
      <c r="I4" s="8">
        <f t="shared" ref="I4" si="0">_xlfn.RANK.EQ(G4,G:G)</f>
        <v>2</v>
      </c>
    </row>
    <row r="5" spans="1:9" ht="19.2" customHeight="1" x14ac:dyDescent="0.3">
      <c r="A5" s="12" t="s">
        <v>4</v>
      </c>
      <c r="B5" s="13">
        <f>IFERROR(INDEX('Index - Oldest Map'!$D$3:$D$28,MATCH(Scorecard!A7,'Index - Oldest Map'!$B$3:$B$27,0)),0)</f>
        <v>20</v>
      </c>
      <c r="C5" s="13">
        <f>IFERROR(INDEX('Index-Most Players'!$C:$C,MATCH(Scorecard!$A7,'Index-Most Players'!$A:$A,0)),0)</f>
        <v>22</v>
      </c>
      <c r="D5" s="13">
        <f>IFERROR(INDEX('Index-Most Clears'!C:C,MATCH(Scorecard!$A7,'Index-Most Clears'!A:A,0)),0)</f>
        <v>20</v>
      </c>
      <c r="E5" s="13">
        <f>IFERROR(INDEX('Index-Most Attempts'!C:C,MATCH(Scorecard!$A7,'Index-Most Attempts'!A:A,0)),0)</f>
        <v>24</v>
      </c>
      <c r="F5" s="13">
        <f>IFERROR(INDEX('Most Stars'!C:C,MATCH(Scorecard!$A7,'Most Stars'!A:A,0)),0)</f>
        <v>22</v>
      </c>
      <c r="G5" s="13">
        <f t="shared" ref="G5:G61" si="1">SUM(B5:F5)</f>
        <v>108</v>
      </c>
      <c r="I5" s="8">
        <f t="shared" ref="I5:I36" si="2">_xlfn.RANK.EQ(G5,G:G)</f>
        <v>4</v>
      </c>
    </row>
    <row r="6" spans="1:9" ht="19.2" customHeight="1" x14ac:dyDescent="0.3">
      <c r="A6" s="12" t="s">
        <v>12</v>
      </c>
      <c r="B6" s="13">
        <f>IFERROR(INDEX('Index - Oldest Map'!$D$3:$D$28,MATCH(Scorecard!A15,'Index - Oldest Map'!$B$3:$B$27,0)),0)</f>
        <v>16</v>
      </c>
      <c r="C6" s="13">
        <f>IFERROR(INDEX('Index-Most Players'!$C:$C,MATCH(Scorecard!$A15,'Index-Most Players'!$A:$A,0)),0)</f>
        <v>13</v>
      </c>
      <c r="D6" s="13">
        <f>IFERROR(INDEX('Index-Most Clears'!C:C,MATCH(Scorecard!$A15,'Index-Most Clears'!A:A,0)),0)</f>
        <v>0</v>
      </c>
      <c r="E6" s="13">
        <f>IFERROR(INDEX('Index-Most Attempts'!C:C,MATCH(Scorecard!$A15,'Index-Most Attempts'!A:A,0)),0)</f>
        <v>16</v>
      </c>
      <c r="F6" s="13">
        <f>IFERROR(INDEX('Most Stars'!C:C,MATCH(Scorecard!$A15,'Most Stars'!A:A,0)),0)</f>
        <v>9</v>
      </c>
      <c r="G6" s="13">
        <f t="shared" si="1"/>
        <v>54</v>
      </c>
      <c r="I6" s="8">
        <f t="shared" si="2"/>
        <v>12</v>
      </c>
    </row>
    <row r="7" spans="1:9" ht="19.2" customHeight="1" x14ac:dyDescent="0.3">
      <c r="A7" s="12" t="s">
        <v>6</v>
      </c>
      <c r="B7" s="13">
        <f>IFERROR(INDEX('Index - Oldest Map'!$D$3:$D$28,MATCH(Scorecard!A9,'Index - Oldest Map'!$B$3:$B$27,0)),0)</f>
        <v>17</v>
      </c>
      <c r="C7" s="13">
        <f>IFERROR(INDEX('Index-Most Players'!$C:$C,MATCH(Scorecard!$A9,'Index-Most Players'!$A:$A,0)),0)</f>
        <v>16</v>
      </c>
      <c r="D7" s="13">
        <f>IFERROR(INDEX('Index-Most Clears'!C:C,MATCH(Scorecard!$A9,'Index-Most Clears'!A:A,0)),0)</f>
        <v>18</v>
      </c>
      <c r="E7" s="13">
        <f>IFERROR(INDEX('Index-Most Attempts'!C:C,MATCH(Scorecard!$A9,'Index-Most Attempts'!A:A,0)),0)</f>
        <v>20</v>
      </c>
      <c r="F7" s="13">
        <f>IFERROR(INDEX('Most Stars'!C:C,MATCH(Scorecard!$A9,'Most Stars'!A:A,0)),0)</f>
        <v>15</v>
      </c>
      <c r="G7" s="13">
        <f t="shared" si="1"/>
        <v>86</v>
      </c>
      <c r="I7" s="8">
        <f t="shared" si="2"/>
        <v>6</v>
      </c>
    </row>
    <row r="8" spans="1:9" ht="19.2" customHeight="1" x14ac:dyDescent="0.3">
      <c r="A8" s="12" t="s">
        <v>5</v>
      </c>
      <c r="B8" s="13">
        <f>IFERROR(INDEX('Index - Oldest Map'!$D$3:$D$28,MATCH(Scorecard!A8,'Index - Oldest Map'!$B$3:$B$27,0)),0)</f>
        <v>21</v>
      </c>
      <c r="C8" s="13">
        <f>IFERROR(INDEX('Index-Most Players'!$C:$C,MATCH(Scorecard!$A8,'Index-Most Players'!$A:$A,0)),0)</f>
        <v>21</v>
      </c>
      <c r="D8" s="13">
        <f>IFERROR(INDEX('Index-Most Clears'!C:C,MATCH(Scorecard!$A8,'Index-Most Clears'!A:A,0)),0)</f>
        <v>22</v>
      </c>
      <c r="E8" s="13">
        <f>IFERROR(INDEX('Index-Most Attempts'!C:C,MATCH(Scorecard!$A8,'Index-Most Attempts'!A:A,0)),0)</f>
        <v>22</v>
      </c>
      <c r="F8" s="13">
        <f>IFERROR(INDEX('Most Stars'!C:C,MATCH(Scorecard!$A8,'Most Stars'!A:A,0)),0)</f>
        <v>21</v>
      </c>
      <c r="G8" s="13">
        <f t="shared" si="1"/>
        <v>107</v>
      </c>
      <c r="I8" s="8">
        <f t="shared" si="2"/>
        <v>5</v>
      </c>
    </row>
    <row r="9" spans="1:9" ht="19.2" customHeight="1" x14ac:dyDescent="0.3">
      <c r="A9" s="12" t="s">
        <v>9</v>
      </c>
      <c r="B9" s="13">
        <f>IFERROR(INDEX('Index - Oldest Map'!$D$3:$D$28,MATCH(Scorecard!A12,'Index - Oldest Map'!$B$3:$B$27,0)),0)</f>
        <v>0</v>
      </c>
      <c r="C9" s="13">
        <f>IFERROR(INDEX('Index-Most Players'!$C:$C,MATCH(Scorecard!$A12,'Index-Most Players'!$A:$A,0)),0)</f>
        <v>15</v>
      </c>
      <c r="D9" s="13">
        <f>IFERROR(INDEX('Index-Most Clears'!C:C,MATCH(Scorecard!$A12,'Index-Most Clears'!A:A,0)),0)</f>
        <v>19</v>
      </c>
      <c r="E9" s="13">
        <f>IFERROR(INDEX('Index-Most Attempts'!C:C,MATCH(Scorecard!$A12,'Index-Most Attempts'!A:A,0)),0)</f>
        <v>19</v>
      </c>
      <c r="F9" s="13">
        <f>IFERROR(INDEX('Most Stars'!C:C,MATCH(Scorecard!$A12,'Most Stars'!A:A,0)),0)</f>
        <v>13</v>
      </c>
      <c r="G9" s="13">
        <f t="shared" si="1"/>
        <v>66</v>
      </c>
      <c r="I9" s="8">
        <f t="shared" si="2"/>
        <v>9</v>
      </c>
    </row>
    <row r="10" spans="1:9" ht="19.2" customHeight="1" x14ac:dyDescent="0.3">
      <c r="A10" s="12" t="s">
        <v>30</v>
      </c>
      <c r="B10" s="13">
        <f>IFERROR(INDEX('Index - Oldest Map'!$D$3:$D$28,MATCH(Scorecard!A29,'Index - Oldest Map'!$B$3:$B$27,0)),0)</f>
        <v>10</v>
      </c>
      <c r="C10" s="13">
        <f>IFERROR(INDEX('Index-Most Players'!$C:$C,MATCH(Scorecard!$A29,'Index-Most Players'!$A:$A,0)),0)</f>
        <v>3</v>
      </c>
      <c r="D10" s="13">
        <f>IFERROR(INDEX('Index-Most Clears'!C:C,MATCH(Scorecard!$A29,'Index-Most Clears'!A:A,0)),0)</f>
        <v>0</v>
      </c>
      <c r="E10" s="13">
        <f>IFERROR(INDEX('Index-Most Attempts'!C:C,MATCH(Scorecard!$A29,'Index-Most Attempts'!A:A,0)),0)</f>
        <v>0</v>
      </c>
      <c r="F10" s="13">
        <f>IFERROR(INDEX('Most Stars'!C:C,MATCH(Scorecard!$A29,'Most Stars'!A:A,0)),0)</f>
        <v>3</v>
      </c>
      <c r="G10" s="13">
        <f t="shared" si="1"/>
        <v>16</v>
      </c>
      <c r="I10" s="8">
        <f t="shared" si="2"/>
        <v>26</v>
      </c>
    </row>
    <row r="11" spans="1:9" ht="19.2" customHeight="1" x14ac:dyDescent="0.3">
      <c r="A11" s="12" t="s">
        <v>11</v>
      </c>
      <c r="B11" s="13">
        <f>IFERROR(INDEX('Index - Oldest Map'!$D$3:$D$28,MATCH(Scorecard!A14,'Index - Oldest Map'!$B$3:$B$27,0)),0)</f>
        <v>19</v>
      </c>
      <c r="C11" s="13">
        <f>IFERROR(INDEX('Index-Most Players'!$C:$C,MATCH(Scorecard!$A14,'Index-Most Players'!$A:$A,0)),0)</f>
        <v>10</v>
      </c>
      <c r="D11" s="13">
        <f>IFERROR(INDEX('Index-Most Clears'!C:C,MATCH(Scorecard!$A14,'Index-Most Clears'!A:A,0)),0)</f>
        <v>0</v>
      </c>
      <c r="E11" s="13">
        <f>IFERROR(INDEX('Index-Most Attempts'!C:C,MATCH(Scorecard!$A14,'Index-Most Attempts'!A:A,0)),0)</f>
        <v>15</v>
      </c>
      <c r="F11" s="13">
        <f>IFERROR(INDEX('Most Stars'!C:C,MATCH(Scorecard!$A14,'Most Stars'!A:A,0)),0)</f>
        <v>11</v>
      </c>
      <c r="G11" s="13">
        <f t="shared" si="1"/>
        <v>55</v>
      </c>
      <c r="I11" s="8">
        <f t="shared" si="2"/>
        <v>11</v>
      </c>
    </row>
    <row r="12" spans="1:9" ht="19.2" customHeight="1" x14ac:dyDescent="0.3">
      <c r="A12" s="12" t="s">
        <v>32</v>
      </c>
      <c r="B12" s="13">
        <f>IFERROR(INDEX('Index - Oldest Map'!$D$3:$D$28,MATCH(Scorecard!A31,'Index - Oldest Map'!$B$3:$B$27,0)),0)</f>
        <v>0</v>
      </c>
      <c r="C12" s="13">
        <f>IFERROR(INDEX('Index-Most Players'!$C:$C,MATCH(Scorecard!$A31,'Index-Most Players'!$A:$A,0)),0)</f>
        <v>7</v>
      </c>
      <c r="D12" s="13">
        <f>IFERROR(INDEX('Index-Most Clears'!C:C,MATCH(Scorecard!$A31,'Index-Most Clears'!A:A,0)),0)</f>
        <v>0</v>
      </c>
      <c r="E12" s="13">
        <f>IFERROR(INDEX('Index-Most Attempts'!C:C,MATCH(Scorecard!$A31,'Index-Most Attempts'!A:A,0)),0)</f>
        <v>0</v>
      </c>
      <c r="F12" s="13">
        <f>IFERROR(INDEX('Most Stars'!C:C,MATCH(Scorecard!$A31,'Most Stars'!A:A,0)),0)</f>
        <v>7</v>
      </c>
      <c r="G12" s="13">
        <f t="shared" si="1"/>
        <v>14</v>
      </c>
      <c r="I12" s="8">
        <f t="shared" si="2"/>
        <v>28</v>
      </c>
    </row>
    <row r="13" spans="1:9" ht="19.2" customHeight="1" x14ac:dyDescent="0.3">
      <c r="A13" s="12" t="s">
        <v>14</v>
      </c>
      <c r="B13" s="13">
        <f>IFERROR(INDEX('Index - Oldest Map'!$D$3:$D$28,MATCH(Scorecard!A17,'Index - Oldest Map'!$B$3:$B$27,0)),0)</f>
        <v>5</v>
      </c>
      <c r="C13" s="13">
        <f>IFERROR(INDEX('Index-Most Players'!$C:$C,MATCH(Scorecard!$A17,'Index-Most Players'!$A:$A,0)),0)</f>
        <v>0</v>
      </c>
      <c r="D13" s="13">
        <f>IFERROR(INDEX('Index-Most Clears'!C:C,MATCH(Scorecard!$A17,'Index-Most Clears'!A:A,0)),0)</f>
        <v>0</v>
      </c>
      <c r="E13" s="13">
        <f>IFERROR(INDEX('Index-Most Attempts'!C:C,MATCH(Scorecard!$A17,'Index-Most Attempts'!A:A,0)),0)</f>
        <v>0</v>
      </c>
      <c r="F13" s="13">
        <f>IFERROR(INDEX('Most Stars'!C:C,MATCH(Scorecard!$A17,'Most Stars'!A:A,0)),0)</f>
        <v>0</v>
      </c>
      <c r="G13" s="13">
        <f t="shared" si="1"/>
        <v>5</v>
      </c>
      <c r="I13" s="8">
        <f t="shared" si="2"/>
        <v>44</v>
      </c>
    </row>
    <row r="14" spans="1:9" ht="19.2" customHeight="1" x14ac:dyDescent="0.3">
      <c r="A14" s="12" t="s">
        <v>7</v>
      </c>
      <c r="B14" s="13">
        <f>IFERROR(INDEX('Index - Oldest Map'!$D$3:$D$28,MATCH(Scorecard!A10,'Index - Oldest Map'!$B$3:$B$27,0)),0)</f>
        <v>0</v>
      </c>
      <c r="C14" s="13">
        <f>IFERROR(INDEX('Index-Most Players'!$C:$C,MATCH(Scorecard!$A10,'Index-Most Players'!$A:$A,0)),0)</f>
        <v>19</v>
      </c>
      <c r="D14" s="13">
        <f>IFERROR(INDEX('Index-Most Clears'!C:C,MATCH(Scorecard!$A10,'Index-Most Clears'!A:A,0)),0)</f>
        <v>21</v>
      </c>
      <c r="E14" s="13">
        <f>IFERROR(INDEX('Index-Most Attempts'!C:C,MATCH(Scorecard!$A10,'Index-Most Attempts'!A:A,0)),0)</f>
        <v>17</v>
      </c>
      <c r="F14" s="13">
        <f>IFERROR(INDEX('Most Stars'!C:C,MATCH(Scorecard!$A10,'Most Stars'!A:A,0)),0)</f>
        <v>17</v>
      </c>
      <c r="G14" s="13">
        <f t="shared" si="1"/>
        <v>74</v>
      </c>
      <c r="I14" s="8">
        <f t="shared" si="2"/>
        <v>7</v>
      </c>
    </row>
    <row r="15" spans="1:9" ht="19.2" customHeight="1" x14ac:dyDescent="0.3">
      <c r="A15" s="12" t="s">
        <v>10</v>
      </c>
      <c r="B15" s="13">
        <f>IFERROR(INDEX('Index - Oldest Map'!$D$3:$D$28,MATCH(Scorecard!A13,'Index - Oldest Map'!$B$3:$B$27,0)),0)</f>
        <v>12</v>
      </c>
      <c r="C15" s="13">
        <f>IFERROR(INDEX('Index-Most Players'!$C:$C,MATCH(Scorecard!$A13,'Index-Most Players'!$A:$A,0)),0)</f>
        <v>18</v>
      </c>
      <c r="D15" s="13">
        <f>IFERROR(INDEX('Index-Most Clears'!C:C,MATCH(Scorecard!$A13,'Index-Most Clears'!A:A,0)),0)</f>
        <v>0</v>
      </c>
      <c r="E15" s="13">
        <f>IFERROR(INDEX('Index-Most Attempts'!C:C,MATCH(Scorecard!$A13,'Index-Most Attempts'!A:A,0)),0)</f>
        <v>13</v>
      </c>
      <c r="F15" s="13">
        <f>IFERROR(INDEX('Most Stars'!C:C,MATCH(Scorecard!$A13,'Most Stars'!A:A,0)),0)</f>
        <v>18</v>
      </c>
      <c r="G15" s="13">
        <f t="shared" si="1"/>
        <v>61</v>
      </c>
      <c r="I15" s="8">
        <f t="shared" si="2"/>
        <v>10</v>
      </c>
    </row>
    <row r="16" spans="1:9" ht="19.2" customHeight="1" x14ac:dyDescent="0.3">
      <c r="A16" s="12" t="s">
        <v>13</v>
      </c>
      <c r="B16" s="13">
        <f>IFERROR(INDEX('Index - Oldest Map'!$D$3:$D$28,MATCH(Scorecard!A16,'Index - Oldest Map'!$B$3:$B$27,0)),0)</f>
        <v>13</v>
      </c>
      <c r="C16" s="13">
        <f>IFERROR(INDEX('Index-Most Players'!$C:$C,MATCH(Scorecard!$A16,'Index-Most Players'!$A:$A,0)),0)</f>
        <v>14</v>
      </c>
      <c r="D16" s="13">
        <f>IFERROR(INDEX('Index-Most Clears'!C:C,MATCH(Scorecard!$A16,'Index-Most Clears'!A:A,0)),0)</f>
        <v>0</v>
      </c>
      <c r="E16" s="13">
        <f>IFERROR(INDEX('Index-Most Attempts'!C:C,MATCH(Scorecard!$A16,'Index-Most Attempts'!A:A,0)),0)</f>
        <v>9</v>
      </c>
      <c r="F16" s="13">
        <f>IFERROR(INDEX('Most Stars'!C:C,MATCH(Scorecard!$A16,'Most Stars'!A:A,0)),0)</f>
        <v>16</v>
      </c>
      <c r="G16" s="13">
        <f t="shared" si="1"/>
        <v>52</v>
      </c>
      <c r="I16" s="8">
        <f t="shared" si="2"/>
        <v>13</v>
      </c>
    </row>
    <row r="17" spans="1:9" ht="19.2" customHeight="1" x14ac:dyDescent="0.3">
      <c r="A17" s="12" t="s">
        <v>21</v>
      </c>
      <c r="B17" s="13">
        <f>IFERROR(INDEX('Index - Oldest Map'!$D$3:$D$28,MATCH(Scorecard!A24,'Index - Oldest Map'!$B$3:$B$27,0)),0)</f>
        <v>0</v>
      </c>
      <c r="C17" s="13">
        <f>IFERROR(INDEX('Index-Most Players'!$C:$C,MATCH(Scorecard!$A24,'Index-Most Players'!$A:$A,0)),0)</f>
        <v>0</v>
      </c>
      <c r="D17" s="13">
        <f>IFERROR(INDEX('Index-Most Clears'!C:C,MATCH(Scorecard!$A24,'Index-Most Clears'!A:A,0)),0)</f>
        <v>15</v>
      </c>
      <c r="E17" s="13">
        <f>IFERROR(INDEX('Index-Most Attempts'!C:C,MATCH(Scorecard!$A24,'Index-Most Attempts'!A:A,0)),0)</f>
        <v>7</v>
      </c>
      <c r="F17" s="13">
        <f>IFERROR(INDEX('Most Stars'!C:C,MATCH(Scorecard!$A24,'Most Stars'!A:A,0)),0)</f>
        <v>0</v>
      </c>
      <c r="G17" s="13">
        <f t="shared" si="1"/>
        <v>22</v>
      </c>
      <c r="I17" s="8">
        <f t="shared" si="2"/>
        <v>21</v>
      </c>
    </row>
    <row r="18" spans="1:9" ht="19.2" customHeight="1" x14ac:dyDescent="0.3">
      <c r="A18" s="12" t="s">
        <v>3</v>
      </c>
      <c r="B18" s="13">
        <f>IFERROR(INDEX('Index - Oldest Map'!$D$3:$D$28,MATCH(Scorecard!A6,'Index - Oldest Map'!$B$3:$B$27,0)),0)</f>
        <v>14</v>
      </c>
      <c r="C18" s="13">
        <f>IFERROR(INDEX('Index-Most Players'!$C:$C,MATCH(Scorecard!$A6,'Index-Most Players'!$A:$A,0)),0)</f>
        <v>23</v>
      </c>
      <c r="D18" s="13">
        <f>IFERROR(INDEX('Index-Most Clears'!C:C,MATCH(Scorecard!$A6,'Index-Most Clears'!A:A,0)),0)</f>
        <v>23</v>
      </c>
      <c r="E18" s="13">
        <f>IFERROR(INDEX('Index-Most Attempts'!C:C,MATCH(Scorecard!$A6,'Index-Most Attempts'!A:A,0)),0)</f>
        <v>25</v>
      </c>
      <c r="F18" s="13">
        <f>IFERROR(INDEX('Most Stars'!C:C,MATCH(Scorecard!$A6,'Most Stars'!A:A,0)),0)</f>
        <v>24</v>
      </c>
      <c r="G18" s="13">
        <f t="shared" si="1"/>
        <v>109</v>
      </c>
      <c r="I18" s="8">
        <f t="shared" si="2"/>
        <v>3</v>
      </c>
    </row>
    <row r="19" spans="1:9" ht="19.2" customHeight="1" x14ac:dyDescent="0.3">
      <c r="A19" s="12" t="s">
        <v>18</v>
      </c>
      <c r="B19" s="13">
        <f>IFERROR(INDEX('Index - Oldest Map'!$D$3:$D$28,MATCH(Scorecard!A21,'Index - Oldest Map'!$B$3:$B$27,0)),0)</f>
        <v>11</v>
      </c>
      <c r="C19" s="13">
        <f>IFERROR(INDEX('Index-Most Players'!$C:$C,MATCH(Scorecard!$A21,'Index-Most Players'!$A:$A,0)),0)</f>
        <v>6</v>
      </c>
      <c r="D19" s="13">
        <f>IFERROR(INDEX('Index-Most Clears'!C:C,MATCH(Scorecard!$A21,'Index-Most Clears'!A:A,0)),0)</f>
        <v>0</v>
      </c>
      <c r="E19" s="13">
        <f>IFERROR(INDEX('Index-Most Attempts'!C:C,MATCH(Scorecard!$A21,'Index-Most Attempts'!A:A,0)),0)</f>
        <v>0</v>
      </c>
      <c r="F19" s="13">
        <f>IFERROR(INDEX('Most Stars'!C:C,MATCH(Scorecard!$A21,'Most Stars'!A:A,0)),0)</f>
        <v>6</v>
      </c>
      <c r="G19" s="13">
        <f t="shared" si="1"/>
        <v>23</v>
      </c>
      <c r="I19" s="8">
        <f t="shared" si="2"/>
        <v>18</v>
      </c>
    </row>
    <row r="20" spans="1:9" ht="19.2" customHeight="1" x14ac:dyDescent="0.3">
      <c r="A20" s="12" t="s">
        <v>1</v>
      </c>
      <c r="B20" s="13">
        <f>IFERROR(INDEX('Index - Oldest Map'!$D$3:$D$28,MATCH(Scorecard!A4,'Index - Oldest Map'!$B$3:$B$27,0)),0)</f>
        <v>24</v>
      </c>
      <c r="C20" s="13">
        <f>IFERROR(INDEX('Index-Most Players'!$C:$C,MATCH(Scorecard!$A4,'Index-Most Players'!$A:$A,0)),0)</f>
        <v>25</v>
      </c>
      <c r="D20" s="13">
        <f>IFERROR(INDEX('Index-Most Clears'!C:C,MATCH(Scorecard!$A4,'Index-Most Clears'!A:A,0)),0)</f>
        <v>25</v>
      </c>
      <c r="E20" s="13">
        <f>IFERROR(INDEX('Index-Most Attempts'!C:C,MATCH(Scorecard!$A4,'Index-Most Attempts'!A:A,0)),0)</f>
        <v>21</v>
      </c>
      <c r="F20" s="13">
        <f>IFERROR(INDEX('Most Stars'!C:C,MATCH(Scorecard!$A4,'Most Stars'!A:A,0)),0)</f>
        <v>25</v>
      </c>
      <c r="G20" s="13">
        <f t="shared" si="1"/>
        <v>120</v>
      </c>
      <c r="I20" s="8">
        <f t="shared" si="2"/>
        <v>1</v>
      </c>
    </row>
    <row r="21" spans="1:9" ht="19.2" customHeight="1" x14ac:dyDescent="0.3">
      <c r="A21" s="12" t="s">
        <v>15</v>
      </c>
      <c r="B21" s="13">
        <f>IFERROR(INDEX('Index - Oldest Map'!$D$3:$D$28,MATCH(Scorecard!A18,'Index - Oldest Map'!$B$3:$B$27,0)),0)</f>
        <v>23</v>
      </c>
      <c r="C21" s="13">
        <f>IFERROR(INDEX('Index-Most Players'!$C:$C,MATCH(Scorecard!$A18,'Index-Most Players'!$A:$A,0)),0)</f>
        <v>0</v>
      </c>
      <c r="D21" s="13">
        <f>IFERROR(INDEX('Index-Most Clears'!C:C,MATCH(Scorecard!$A18,'Index-Most Clears'!A:A,0)),0)</f>
        <v>0</v>
      </c>
      <c r="E21" s="13">
        <f>IFERROR(INDEX('Index-Most Attempts'!C:C,MATCH(Scorecard!$A18,'Index-Most Attempts'!A:A,0)),0)</f>
        <v>11</v>
      </c>
      <c r="F21" s="13">
        <f>IFERROR(INDEX('Most Stars'!C:C,MATCH(Scorecard!$A18,'Most Stars'!A:A,0)),0)</f>
        <v>5</v>
      </c>
      <c r="G21" s="13">
        <f t="shared" si="1"/>
        <v>39</v>
      </c>
      <c r="I21" s="8">
        <f t="shared" si="2"/>
        <v>15</v>
      </c>
    </row>
    <row r="22" spans="1:9" ht="19.2" customHeight="1" x14ac:dyDescent="0.3">
      <c r="A22" s="12" t="s">
        <v>17</v>
      </c>
      <c r="B22" s="13">
        <f>IFERROR(INDEX('Index - Oldest Map'!$D$3:$D$28,MATCH(Scorecard!A20,'Index - Oldest Map'!$B$3:$B$27,0)),0)</f>
        <v>25</v>
      </c>
      <c r="C22" s="13">
        <f>IFERROR(INDEX('Index-Most Players'!$C:$C,MATCH(Scorecard!$A20,'Index-Most Players'!$A:$A,0)),0)</f>
        <v>0</v>
      </c>
      <c r="D22" s="13">
        <f>IFERROR(INDEX('Index-Most Clears'!C:C,MATCH(Scorecard!$A20,'Index-Most Clears'!A:A,0)),0)</f>
        <v>0</v>
      </c>
      <c r="E22" s="13">
        <f>IFERROR(INDEX('Index-Most Attempts'!C:C,MATCH(Scorecard!$A20,'Index-Most Attempts'!A:A,0)),0)</f>
        <v>0</v>
      </c>
      <c r="F22" s="13">
        <f>IFERROR(INDEX('Most Stars'!C:C,MATCH(Scorecard!$A20,'Most Stars'!A:A,0)),0)</f>
        <v>0</v>
      </c>
      <c r="G22" s="13">
        <f t="shared" si="1"/>
        <v>25</v>
      </c>
      <c r="I22" s="8">
        <f t="shared" si="2"/>
        <v>17</v>
      </c>
    </row>
    <row r="23" spans="1:9" ht="19.2" customHeight="1" x14ac:dyDescent="0.3">
      <c r="A23" s="12" t="s">
        <v>33</v>
      </c>
      <c r="B23" s="13">
        <f>IFERROR(INDEX('Index - Oldest Map'!$D$3:$D$28,MATCH(Scorecard!A32,'Index - Oldest Map'!$B$3:$B$27,0)),0)</f>
        <v>0</v>
      </c>
      <c r="C23" s="13">
        <f>IFERROR(INDEX('Index-Most Players'!$C:$C,MATCH(Scorecard!$A32,'Index-Most Players'!$A:$A,0)),0)</f>
        <v>0</v>
      </c>
      <c r="D23" s="13">
        <f>IFERROR(INDEX('Index-Most Clears'!C:C,MATCH(Scorecard!$A32,'Index-Most Clears'!A:A,0)),0)</f>
        <v>14</v>
      </c>
      <c r="E23" s="13">
        <f>IFERROR(INDEX('Index-Most Attempts'!C:C,MATCH(Scorecard!$A32,'Index-Most Attempts'!A:A,0)),0)</f>
        <v>0</v>
      </c>
      <c r="F23" s="13">
        <f>IFERROR(INDEX('Most Stars'!C:C,MATCH(Scorecard!$A32,'Most Stars'!A:A,0)),0)</f>
        <v>0</v>
      </c>
      <c r="G23" s="13">
        <f t="shared" si="1"/>
        <v>14</v>
      </c>
      <c r="I23" s="8">
        <f t="shared" si="2"/>
        <v>28</v>
      </c>
    </row>
    <row r="24" spans="1:9" ht="19.2" customHeight="1" x14ac:dyDescent="0.3">
      <c r="A24" s="12" t="s">
        <v>46</v>
      </c>
      <c r="B24" s="13">
        <f>IFERROR(INDEX('Index - Oldest Map'!$D$3:$D$28,MATCH(Scorecard!A39,'Index - Oldest Map'!$B$3:$B$27,0)),0)</f>
        <v>0</v>
      </c>
      <c r="C24" s="13">
        <f>IFERROR(INDEX('Index-Most Players'!$C:$C,MATCH(Scorecard!$A39,'Index-Most Players'!$A:$A,0)),0)</f>
        <v>0</v>
      </c>
      <c r="D24" s="13">
        <f>IFERROR(INDEX('Index-Most Clears'!C:C,MATCH(Scorecard!$A39,'Index-Most Clears'!A:A,0)),0)</f>
        <v>0</v>
      </c>
      <c r="E24" s="13">
        <f>IFERROR(INDEX('Index-Most Attempts'!C:C,MATCH(Scorecard!$A39,'Index-Most Attempts'!A:A,0)),0)</f>
        <v>10</v>
      </c>
      <c r="F24" s="13">
        <f>IFERROR(INDEX('Most Stars'!C:C,MATCH(Scorecard!$A39,'Most Stars'!A:A,0)),0)</f>
        <v>0</v>
      </c>
      <c r="G24" s="13">
        <f t="shared" si="1"/>
        <v>10</v>
      </c>
      <c r="I24" s="8">
        <f t="shared" si="2"/>
        <v>34</v>
      </c>
    </row>
    <row r="25" spans="1:9" ht="19.2" customHeight="1" x14ac:dyDescent="0.3">
      <c r="A25" s="12" t="s">
        <v>38</v>
      </c>
      <c r="B25" s="13">
        <f>IFERROR(INDEX('Index - Oldest Map'!$D$3:$D$28,MATCH(Scorecard!A37,'Index - Oldest Map'!$B$3:$B$27,0)),0)</f>
        <v>7</v>
      </c>
      <c r="C25" s="13">
        <f>IFERROR(INDEX('Index-Most Players'!$C:$C,MATCH(Scorecard!$A37,'Index-Most Players'!$A:$A,0)),0)</f>
        <v>12</v>
      </c>
      <c r="D25" s="13">
        <f>IFERROR(INDEX('Index-Most Clears'!C:C,MATCH(Scorecard!$A37,'Index-Most Clears'!A:A,0)),0)</f>
        <v>0</v>
      </c>
      <c r="E25" s="13">
        <f>IFERROR(INDEX('Index-Most Attempts'!C:C,MATCH(Scorecard!$A37,'Index-Most Attempts'!A:A,0)),0)</f>
        <v>0</v>
      </c>
      <c r="F25" s="13">
        <f>IFERROR(INDEX('Most Stars'!C:C,MATCH(Scorecard!$A37,'Most Stars'!A:A,0)),0)</f>
        <v>14</v>
      </c>
      <c r="G25" s="13">
        <f t="shared" si="1"/>
        <v>33</v>
      </c>
      <c r="I25" s="8">
        <f t="shared" si="2"/>
        <v>16</v>
      </c>
    </row>
    <row r="26" spans="1:9" ht="19.2" customHeight="1" x14ac:dyDescent="0.3">
      <c r="A26" s="12" t="s">
        <v>31</v>
      </c>
      <c r="B26" s="13">
        <f>IFERROR(INDEX('Index - Oldest Map'!$D$3:$D$28,MATCH(Scorecard!A30,'Index - Oldest Map'!$B$3:$B$27,0)),0)</f>
        <v>0</v>
      </c>
      <c r="C26" s="13">
        <f>IFERROR(INDEX('Index-Most Players'!$C:$C,MATCH(Scorecard!$A30,'Index-Most Players'!$A:$A,0)),0)</f>
        <v>8</v>
      </c>
      <c r="D26" s="13">
        <f>IFERROR(INDEX('Index-Most Clears'!C:C,MATCH(Scorecard!$A30,'Index-Most Clears'!A:A,0)),0)</f>
        <v>0</v>
      </c>
      <c r="E26" s="13">
        <f>IFERROR(INDEX('Index-Most Attempts'!C:C,MATCH(Scorecard!$A30,'Index-Most Attempts'!A:A,0)),0)</f>
        <v>0</v>
      </c>
      <c r="F26" s="13">
        <f>IFERROR(INDEX('Most Stars'!C:C,MATCH(Scorecard!$A30,'Most Stars'!A:A,0)),0)</f>
        <v>8</v>
      </c>
      <c r="G26" s="13">
        <f t="shared" si="1"/>
        <v>16</v>
      </c>
      <c r="I26" s="8">
        <f t="shared" si="2"/>
        <v>26</v>
      </c>
    </row>
    <row r="27" spans="1:9" ht="19.2" customHeight="1" x14ac:dyDescent="0.3">
      <c r="A27" s="12" t="s">
        <v>8</v>
      </c>
      <c r="B27" s="13">
        <f>IFERROR(INDEX('Index - Oldest Map'!$D$3:$D$28,MATCH(Scorecard!A11,'Index - Oldest Map'!$B$3:$B$27,0)),0)</f>
        <v>15</v>
      </c>
      <c r="C27" s="13">
        <f>IFERROR(INDEX('Index-Most Players'!$C:$C,MATCH(Scorecard!$A11,'Index-Most Players'!$A:$A,0)),0)</f>
        <v>20</v>
      </c>
      <c r="D27" s="13">
        <f>IFERROR(INDEX('Index-Most Clears'!C:C,MATCH(Scorecard!$A11,'Index-Most Clears'!A:A,0)),0)</f>
        <v>0</v>
      </c>
      <c r="E27" s="13">
        <f>IFERROR(INDEX('Index-Most Attempts'!C:C,MATCH(Scorecard!$A11,'Index-Most Attempts'!A:A,0)),0)</f>
        <v>18</v>
      </c>
      <c r="F27" s="13">
        <f>IFERROR(INDEX('Most Stars'!C:C,MATCH(Scorecard!$A11,'Most Stars'!A:A,0)),0)</f>
        <v>20</v>
      </c>
      <c r="G27" s="13">
        <f t="shared" si="1"/>
        <v>73</v>
      </c>
      <c r="I27" s="8">
        <f t="shared" si="2"/>
        <v>8</v>
      </c>
    </row>
    <row r="28" spans="1:9" ht="19.2" customHeight="1" x14ac:dyDescent="0.3">
      <c r="A28" s="12" t="s">
        <v>45</v>
      </c>
      <c r="B28" s="13">
        <f>IFERROR(INDEX('Index - Oldest Map'!$D$3:$D$28,MATCH(Scorecard!A38,'Index - Oldest Map'!$B$3:$B$27,0)),0)</f>
        <v>0</v>
      </c>
      <c r="C28" s="13">
        <f>IFERROR(INDEX('Index-Most Players'!$C:$C,MATCH(Scorecard!$A38,'Index-Most Players'!$A:$A,0)),0)</f>
        <v>0</v>
      </c>
      <c r="D28" s="13">
        <f>IFERROR(INDEX('Index-Most Clears'!C:C,MATCH(Scorecard!$A38,'Index-Most Clears'!A:A,0)),0)</f>
        <v>10</v>
      </c>
      <c r="E28" s="13">
        <f>IFERROR(INDEX('Index-Most Attempts'!C:C,MATCH(Scorecard!$A38,'Index-Most Attempts'!A:A,0)),0)</f>
        <v>0</v>
      </c>
      <c r="F28" s="13">
        <f>IFERROR(INDEX('Most Stars'!C:C,MATCH(Scorecard!$A38,'Most Stars'!A:A,0)),0)</f>
        <v>0</v>
      </c>
      <c r="G28" s="13">
        <f t="shared" si="1"/>
        <v>10</v>
      </c>
      <c r="I28" s="8">
        <f t="shared" si="2"/>
        <v>34</v>
      </c>
    </row>
    <row r="29" spans="1:9" ht="19.2" customHeight="1" x14ac:dyDescent="0.3">
      <c r="A29" s="12" t="s">
        <v>16</v>
      </c>
      <c r="B29" s="13">
        <f>IFERROR(INDEX('Index - Oldest Map'!$D$3:$D$28,MATCH(Scorecard!A19,'Index - Oldest Map'!$B$3:$B$27,0)),0)</f>
        <v>8</v>
      </c>
      <c r="C29" s="13">
        <f>IFERROR(INDEX('Index-Most Players'!$C:$C,MATCH(Scorecard!$A19,'Index-Most Players'!$A:$A,0)),0)</f>
        <v>2</v>
      </c>
      <c r="D29" s="13">
        <f>IFERROR(INDEX('Index-Most Clears'!C:C,MATCH(Scorecard!$A19,'Index-Most Clears'!A:A,0)),0)</f>
        <v>0</v>
      </c>
      <c r="E29" s="13">
        <f>IFERROR(INDEX('Index-Most Attempts'!C:C,MATCH(Scorecard!$A19,'Index-Most Attempts'!A:A,0)),0)</f>
        <v>0</v>
      </c>
      <c r="F29" s="13">
        <f>IFERROR(INDEX('Most Stars'!C:C,MATCH(Scorecard!$A19,'Most Stars'!A:A,0)),0)</f>
        <v>0</v>
      </c>
      <c r="G29" s="13">
        <f t="shared" si="1"/>
        <v>10</v>
      </c>
      <c r="I29" s="8">
        <f t="shared" si="2"/>
        <v>34</v>
      </c>
    </row>
    <row r="30" spans="1:9" ht="19.2" customHeight="1" x14ac:dyDescent="0.3">
      <c r="A30" s="12" t="s">
        <v>34</v>
      </c>
      <c r="B30" s="13">
        <f>IFERROR(INDEX('Index - Oldest Map'!$D$3:$D$28,MATCH(Scorecard!A33,'Index - Oldest Map'!$B$3:$B$27,0)),0)</f>
        <v>0</v>
      </c>
      <c r="C30" s="13">
        <f>IFERROR(INDEX('Index-Most Players'!$C:$C,MATCH(Scorecard!$A33,'Index-Most Players'!$A:$A,0)),0)</f>
        <v>0</v>
      </c>
      <c r="D30" s="13">
        <f>IFERROR(INDEX('Index-Most Clears'!C:C,MATCH(Scorecard!$A33,'Index-Most Clears'!A:A,0)),0)</f>
        <v>13</v>
      </c>
      <c r="E30" s="13">
        <f>IFERROR(INDEX('Index-Most Attempts'!C:C,MATCH(Scorecard!$A33,'Index-Most Attempts'!A:A,0)),0)</f>
        <v>0</v>
      </c>
      <c r="F30" s="13">
        <f>IFERROR(INDEX('Most Stars'!C:C,MATCH(Scorecard!$A33,'Most Stars'!A:A,0)),0)</f>
        <v>0</v>
      </c>
      <c r="G30" s="13">
        <f t="shared" si="1"/>
        <v>13</v>
      </c>
      <c r="I30" s="8">
        <f t="shared" si="2"/>
        <v>30</v>
      </c>
    </row>
    <row r="31" spans="1:9" ht="19.2" customHeight="1" x14ac:dyDescent="0.3">
      <c r="A31" s="12" t="s">
        <v>35</v>
      </c>
      <c r="B31" s="13">
        <f>IFERROR(INDEX('Index - Oldest Map'!$D$3:$D$28,MATCH(Scorecard!A34,'Index - Oldest Map'!$B$3:$B$27,0)),0)</f>
        <v>0</v>
      </c>
      <c r="C31" s="13">
        <f>IFERROR(INDEX('Index-Most Players'!$C:$C,MATCH(Scorecard!$A34,'Index-Most Players'!$A:$A,0)),0)</f>
        <v>0</v>
      </c>
      <c r="D31" s="13">
        <f>IFERROR(INDEX('Index-Most Clears'!C:C,MATCH(Scorecard!$A34,'Index-Most Clears'!A:A,0)),0)</f>
        <v>12</v>
      </c>
      <c r="E31" s="13">
        <f>IFERROR(INDEX('Index-Most Attempts'!C:C,MATCH(Scorecard!$A34,'Index-Most Attempts'!A:A,0)),0)</f>
        <v>0</v>
      </c>
      <c r="F31" s="13">
        <f>IFERROR(INDEX('Most Stars'!C:C,MATCH(Scorecard!$A34,'Most Stars'!A:A,0)),0)</f>
        <v>0</v>
      </c>
      <c r="G31" s="13">
        <f t="shared" si="1"/>
        <v>12</v>
      </c>
      <c r="I31" s="8">
        <f t="shared" si="2"/>
        <v>31</v>
      </c>
    </row>
    <row r="32" spans="1:9" ht="19.2" customHeight="1" x14ac:dyDescent="0.3">
      <c r="A32" s="12" t="s">
        <v>47</v>
      </c>
      <c r="B32" s="13">
        <f>IFERROR(INDEX('Index - Oldest Map'!$D$3:$D$28,MATCH(Scorecard!A40,'Index - Oldest Map'!$B$3:$B$27,0)),0)</f>
        <v>0</v>
      </c>
      <c r="C32" s="13">
        <f>IFERROR(INDEX('Index-Most Players'!$C:$C,MATCH(Scorecard!$A40,'Index-Most Players'!$A:$A,0)),0)</f>
        <v>0</v>
      </c>
      <c r="D32" s="13">
        <f>IFERROR(INDEX('Index-Most Clears'!C:C,MATCH(Scorecard!$A40,'Index-Most Clears'!A:A,0)),0)</f>
        <v>9</v>
      </c>
      <c r="E32" s="13">
        <f>IFERROR(INDEX('Index-Most Attempts'!C:C,MATCH(Scorecard!$A40,'Index-Most Attempts'!A:A,0)),0)</f>
        <v>0</v>
      </c>
      <c r="F32" s="13">
        <f>IFERROR(INDEX('Most Stars'!C:C,MATCH(Scorecard!$A40,'Most Stars'!A:A,0)),0)</f>
        <v>0</v>
      </c>
      <c r="G32" s="13">
        <f t="shared" si="1"/>
        <v>9</v>
      </c>
      <c r="I32" s="8">
        <f t="shared" si="2"/>
        <v>37</v>
      </c>
    </row>
    <row r="33" spans="1:9" ht="19.2" customHeight="1" x14ac:dyDescent="0.3">
      <c r="A33" s="12" t="s">
        <v>48</v>
      </c>
      <c r="B33" s="13">
        <f>IFERROR(INDEX('Index - Oldest Map'!$D$3:$D$28,MATCH(Scorecard!A41,'Index - Oldest Map'!$B$3:$B$27,0)),0)</f>
        <v>0</v>
      </c>
      <c r="C33" s="13">
        <f>IFERROR(INDEX('Index-Most Players'!$C:$C,MATCH(Scorecard!$A41,'Index-Most Players'!$A:$A,0)),0)</f>
        <v>4</v>
      </c>
      <c r="D33" s="13">
        <f>IFERROR(INDEX('Index-Most Clears'!C:C,MATCH(Scorecard!$A41,'Index-Most Clears'!A:A,0)),0)</f>
        <v>0</v>
      </c>
      <c r="E33" s="13">
        <f>IFERROR(INDEX('Index-Most Attempts'!C:C,MATCH(Scorecard!$A41,'Index-Most Attempts'!A:A,0)),0)</f>
        <v>0</v>
      </c>
      <c r="F33" s="13">
        <f>IFERROR(INDEX('Most Stars'!C:C,MATCH(Scorecard!$A41,'Most Stars'!A:A,0)),0)</f>
        <v>4</v>
      </c>
      <c r="G33" s="13">
        <f t="shared" si="1"/>
        <v>8</v>
      </c>
      <c r="I33" s="8">
        <f t="shared" si="2"/>
        <v>38</v>
      </c>
    </row>
    <row r="34" spans="1:9" ht="19.2" customHeight="1" x14ac:dyDescent="0.3">
      <c r="A34" s="12" t="s">
        <v>49</v>
      </c>
      <c r="B34" s="13">
        <f>IFERROR(INDEX('Index - Oldest Map'!$D$3:$D$28,MATCH(Scorecard!A42,'Index - Oldest Map'!$B$3:$B$27,0)),0)</f>
        <v>0</v>
      </c>
      <c r="C34" s="13">
        <f>IFERROR(INDEX('Index-Most Players'!$C:$C,MATCH(Scorecard!$A42,'Index-Most Players'!$A:$A,0)),0)</f>
        <v>0</v>
      </c>
      <c r="D34" s="13">
        <f>IFERROR(INDEX('Index-Most Clears'!C:C,MATCH(Scorecard!$A42,'Index-Most Clears'!A:A,0)),0)</f>
        <v>4</v>
      </c>
      <c r="E34" s="13">
        <f>IFERROR(INDEX('Index-Most Attempts'!C:C,MATCH(Scorecard!$A42,'Index-Most Attempts'!A:A,0)),0)</f>
        <v>0</v>
      </c>
      <c r="F34" s="13">
        <f>IFERROR(INDEX('Most Stars'!C:C,MATCH(Scorecard!$A42,'Most Stars'!A:A,0)),0)</f>
        <v>0</v>
      </c>
      <c r="G34" s="13">
        <f t="shared" si="1"/>
        <v>4</v>
      </c>
      <c r="I34" s="8">
        <f t="shared" si="2"/>
        <v>47</v>
      </c>
    </row>
    <row r="35" spans="1:9" ht="19.2" customHeight="1" x14ac:dyDescent="0.3">
      <c r="A35" s="12" t="s">
        <v>63</v>
      </c>
      <c r="B35" s="13">
        <f>IFERROR(INDEX('Index - Oldest Map'!$D$3:$D$28,MATCH(Scorecard!A54,'Index - Oldest Map'!$B$3:$B$27,0)),0)</f>
        <v>0</v>
      </c>
      <c r="C35" s="13">
        <f>IFERROR(INDEX('Index-Most Players'!$C:$C,MATCH(Scorecard!$A54,'Index-Most Players'!$A:$A,0)),0)</f>
        <v>0</v>
      </c>
      <c r="D35" s="13">
        <f>IFERROR(INDEX('Index-Most Clears'!C:C,MATCH(Scorecard!$A54,'Index-Most Clears'!A:A,0)),0)</f>
        <v>8</v>
      </c>
      <c r="E35" s="13">
        <f>IFERROR(INDEX('Index-Most Attempts'!C:C,MATCH(Scorecard!$A54,'Index-Most Attempts'!A:A,0)),0)</f>
        <v>0</v>
      </c>
      <c r="F35" s="13">
        <f>IFERROR(INDEX('Most Stars'!C:C,MATCH(Scorecard!$A54,'Most Stars'!A:A,0)),0)</f>
        <v>0</v>
      </c>
      <c r="G35" s="13">
        <f t="shared" si="1"/>
        <v>8</v>
      </c>
      <c r="I35" s="8">
        <f t="shared" si="2"/>
        <v>38</v>
      </c>
    </row>
    <row r="36" spans="1:9" ht="19.2" customHeight="1" x14ac:dyDescent="0.3">
      <c r="A36" s="12" t="s">
        <v>50</v>
      </c>
      <c r="B36" s="13">
        <f>IFERROR(INDEX('Index - Oldest Map'!$D$3:$D$28,MATCH(Scorecard!A43,'Index - Oldest Map'!$B$3:$B$27,0)),0)</f>
        <v>3</v>
      </c>
      <c r="C36" s="13">
        <f>IFERROR(INDEX('Index-Most Players'!$C:$C,MATCH(Scorecard!$A43,'Index-Most Players'!$A:$A,0)),0)</f>
        <v>0</v>
      </c>
      <c r="D36" s="13">
        <f>IFERROR(INDEX('Index-Most Clears'!C:C,MATCH(Scorecard!$A43,'Index-Most Clears'!A:A,0)),0)</f>
        <v>0</v>
      </c>
      <c r="E36" s="13">
        <f>IFERROR(INDEX('Index-Most Attempts'!C:C,MATCH(Scorecard!$A43,'Index-Most Attempts'!A:A,0)),0)</f>
        <v>1</v>
      </c>
      <c r="F36" s="13">
        <f>IFERROR(INDEX('Most Stars'!C:C,MATCH(Scorecard!$A43,'Most Stars'!A:A,0)),0)</f>
        <v>0</v>
      </c>
      <c r="G36" s="13">
        <f t="shared" si="1"/>
        <v>4</v>
      </c>
      <c r="I36" s="8">
        <f t="shared" si="2"/>
        <v>47</v>
      </c>
    </row>
    <row r="37" spans="1:9" ht="19.2" customHeight="1" x14ac:dyDescent="0.3">
      <c r="A37" s="12" t="s">
        <v>19</v>
      </c>
      <c r="B37" s="13">
        <f>IFERROR(INDEX('Index - Oldest Map'!$D$3:$D$28,MATCH(Scorecard!A22,'Index - Oldest Map'!$B$3:$B$27,0)),0)</f>
        <v>9</v>
      </c>
      <c r="C37" s="13">
        <f>IFERROR(INDEX('Index-Most Players'!$C:$C,MATCH(Scorecard!$A22,'Index-Most Players'!$A:$A,0)),0)</f>
        <v>0</v>
      </c>
      <c r="D37" s="13">
        <f>IFERROR(INDEX('Index-Most Clears'!C:C,MATCH(Scorecard!$A22,'Index-Most Clears'!A:A,0)),0)</f>
        <v>0</v>
      </c>
      <c r="E37" s="13">
        <f>IFERROR(INDEX('Index-Most Attempts'!C:C,MATCH(Scorecard!$A22,'Index-Most Attempts'!A:A,0)),0)</f>
        <v>14</v>
      </c>
      <c r="F37" s="13">
        <f>IFERROR(INDEX('Most Stars'!C:C,MATCH(Scorecard!$A22,'Most Stars'!A:A,0)),0)</f>
        <v>0</v>
      </c>
      <c r="G37" s="13">
        <f t="shared" si="1"/>
        <v>23</v>
      </c>
      <c r="I37" s="8">
        <f t="shared" ref="I37:I68" si="3">_xlfn.RANK.EQ(G37,G:G)</f>
        <v>18</v>
      </c>
    </row>
    <row r="38" spans="1:9" ht="19.2" customHeight="1" x14ac:dyDescent="0.3">
      <c r="A38" s="12" t="s">
        <v>51</v>
      </c>
      <c r="B38" s="13">
        <f>IFERROR(INDEX('Index - Oldest Map'!$D$3:$D$28,MATCH(Scorecard!A44,'Index - Oldest Map'!$B$3:$B$27,0)),0)</f>
        <v>6</v>
      </c>
      <c r="C38" s="13">
        <f>IFERROR(INDEX('Index-Most Players'!$C:$C,MATCH(Scorecard!$A44,'Index-Most Players'!$A:$A,0)),0)</f>
        <v>0</v>
      </c>
      <c r="D38" s="13">
        <f>IFERROR(INDEX('Index-Most Clears'!C:C,MATCH(Scorecard!$A44,'Index-Most Clears'!A:A,0)),0)</f>
        <v>0</v>
      </c>
      <c r="E38" s="13">
        <f>IFERROR(INDEX('Index-Most Attempts'!C:C,MATCH(Scorecard!$A44,'Index-Most Attempts'!A:A,0)),0)</f>
        <v>0</v>
      </c>
      <c r="F38" s="13">
        <f>IFERROR(INDEX('Most Stars'!C:C,MATCH(Scorecard!$A44,'Most Stars'!A:A,0)),0)</f>
        <v>0</v>
      </c>
      <c r="G38" s="13">
        <f t="shared" si="1"/>
        <v>6</v>
      </c>
      <c r="I38" s="8">
        <f t="shared" si="3"/>
        <v>41</v>
      </c>
    </row>
    <row r="39" spans="1:9" ht="19.2" customHeight="1" x14ac:dyDescent="0.3">
      <c r="A39" s="12" t="s">
        <v>64</v>
      </c>
      <c r="B39" s="13">
        <f>IFERROR(INDEX('Index - Oldest Map'!$D$3:$D$28,MATCH(Scorecard!A55,'Index - Oldest Map'!$B$3:$B$27,0)),0)</f>
        <v>0</v>
      </c>
      <c r="C39" s="13">
        <f>IFERROR(INDEX('Index-Most Players'!$C:$C,MATCH(Scorecard!$A55,'Index-Most Players'!$A:$A,0)),0)</f>
        <v>0</v>
      </c>
      <c r="D39" s="13">
        <f>IFERROR(INDEX('Index-Most Clears'!C:C,MATCH(Scorecard!$A55,'Index-Most Clears'!A:A,0)),0)</f>
        <v>0</v>
      </c>
      <c r="E39" s="13">
        <f>IFERROR(INDEX('Index-Most Attempts'!C:C,MATCH(Scorecard!$A55,'Index-Most Attempts'!A:A,0)),0)</f>
        <v>3</v>
      </c>
      <c r="F39" s="13">
        <f>IFERROR(INDEX('Most Stars'!C:C,MATCH(Scorecard!$A55,'Most Stars'!A:A,0)),0)</f>
        <v>0</v>
      </c>
      <c r="G39" s="13">
        <f t="shared" si="1"/>
        <v>3</v>
      </c>
      <c r="I39" s="8">
        <f t="shared" si="3"/>
        <v>51</v>
      </c>
    </row>
    <row r="40" spans="1:9" ht="19.2" customHeight="1" x14ac:dyDescent="0.3">
      <c r="A40" s="12" t="s">
        <v>52</v>
      </c>
      <c r="B40" s="13">
        <f>IFERROR(INDEX('Index - Oldest Map'!$D$3:$D$28,MATCH(Scorecard!A45,'Index - Oldest Map'!$B$3:$B$27,0)),0)</f>
        <v>0</v>
      </c>
      <c r="C40" s="13">
        <f>IFERROR(INDEX('Index-Most Players'!$C:$C,MATCH(Scorecard!$A45,'Index-Most Players'!$A:$A,0)),0)</f>
        <v>0</v>
      </c>
      <c r="D40" s="13">
        <f>IFERROR(INDEX('Index-Most Clears'!C:C,MATCH(Scorecard!$A45,'Index-Most Clears'!A:A,0)),0)</f>
        <v>7</v>
      </c>
      <c r="E40" s="13">
        <f>IFERROR(INDEX('Index-Most Attempts'!C:C,MATCH(Scorecard!$A45,'Index-Most Attempts'!A:A,0)),0)</f>
        <v>0</v>
      </c>
      <c r="F40" s="13">
        <f>IFERROR(INDEX('Most Stars'!C:C,MATCH(Scorecard!$A45,'Most Stars'!A:A,0)),0)</f>
        <v>0</v>
      </c>
      <c r="G40" s="13">
        <f t="shared" si="1"/>
        <v>7</v>
      </c>
      <c r="I40" s="8">
        <f t="shared" si="3"/>
        <v>40</v>
      </c>
    </row>
    <row r="41" spans="1:9" ht="19.2" customHeight="1" x14ac:dyDescent="0.3">
      <c r="A41" s="12" t="s">
        <v>37</v>
      </c>
      <c r="B41" s="13">
        <f>IFERROR(INDEX('Index - Oldest Map'!$D$3:$D$28,MATCH(Scorecard!A36,'Index - Oldest Map'!$B$3:$B$27,0)),0)</f>
        <v>0</v>
      </c>
      <c r="C41" s="13">
        <f>IFERROR(INDEX('Index-Most Players'!$C:$C,MATCH(Scorecard!$A36,'Index-Most Players'!$A:$A,0)),0)</f>
        <v>0</v>
      </c>
      <c r="D41" s="13">
        <f>IFERROR(INDEX('Index-Most Clears'!C:C,MATCH(Scorecard!$A36,'Index-Most Clears'!A:A,0)),0)</f>
        <v>11</v>
      </c>
      <c r="E41" s="13">
        <f>IFERROR(INDEX('Index-Most Attempts'!C:C,MATCH(Scorecard!$A36,'Index-Most Attempts'!A:A,0)),0)</f>
        <v>0</v>
      </c>
      <c r="F41" s="13">
        <f>IFERROR(INDEX('Most Stars'!C:C,MATCH(Scorecard!$A36,'Most Stars'!A:A,0)),0)</f>
        <v>0</v>
      </c>
      <c r="G41" s="13">
        <f t="shared" si="1"/>
        <v>11</v>
      </c>
      <c r="I41" s="8">
        <f t="shared" si="3"/>
        <v>33</v>
      </c>
    </row>
    <row r="42" spans="1:9" ht="19.2" customHeight="1" x14ac:dyDescent="0.3">
      <c r="A42" s="12" t="s">
        <v>57</v>
      </c>
      <c r="B42" s="13">
        <f>IFERROR(INDEX('Index - Oldest Map'!$D$3:$D$28,MATCH(Scorecard!A50,'Index - Oldest Map'!$B$3:$B$27,0)),0)</f>
        <v>2</v>
      </c>
      <c r="C42" s="13">
        <f>IFERROR(INDEX('Index-Most Players'!$C:$C,MATCH(Scorecard!$A50,'Index-Most Players'!$A:$A,0)),0)</f>
        <v>0</v>
      </c>
      <c r="D42" s="13">
        <f>IFERROR(INDEX('Index-Most Clears'!C:C,MATCH(Scorecard!$A50,'Index-Most Clears'!A:A,0)),0)</f>
        <v>0</v>
      </c>
      <c r="E42" s="13">
        <f>IFERROR(INDEX('Index-Most Attempts'!C:C,MATCH(Scorecard!$A50,'Index-Most Attempts'!A:A,0)),0)</f>
        <v>0</v>
      </c>
      <c r="F42" s="13">
        <f>IFERROR(INDEX('Most Stars'!C:C,MATCH(Scorecard!$A50,'Most Stars'!A:A,0)),0)</f>
        <v>0</v>
      </c>
      <c r="G42" s="13">
        <f t="shared" si="1"/>
        <v>2</v>
      </c>
      <c r="I42" s="8">
        <f t="shared" si="3"/>
        <v>53</v>
      </c>
    </row>
    <row r="43" spans="1:9" ht="19.2" customHeight="1" x14ac:dyDescent="0.3">
      <c r="A43" s="12" t="s">
        <v>23</v>
      </c>
      <c r="B43" s="13">
        <f>IFERROR(INDEX('Index - Oldest Map'!$D$3:$D$28,MATCH(Scorecard!A26,'Index - Oldest Map'!$B$3:$B$27,0)),0)</f>
        <v>0</v>
      </c>
      <c r="C43" s="13">
        <f>IFERROR(INDEX('Index-Most Players'!$C:$C,MATCH(Scorecard!$A26,'Index-Most Players'!$A:$A,0)),0)</f>
        <v>17</v>
      </c>
      <c r="D43" s="13">
        <f>IFERROR(INDEX('Index-Most Clears'!C:C,MATCH(Scorecard!$A26,'Index-Most Clears'!A:A,0)),0)</f>
        <v>0</v>
      </c>
      <c r="E43" s="13">
        <f>IFERROR(INDEX('Index-Most Attempts'!C:C,MATCH(Scorecard!$A26,'Index-Most Attempts'!A:A,0)),0)</f>
        <v>8</v>
      </c>
      <c r="F43" s="13">
        <f>IFERROR(INDEX('Most Stars'!C:C,MATCH(Scorecard!$A26,'Most Stars'!A:A,0)),0)</f>
        <v>19</v>
      </c>
      <c r="G43" s="13">
        <f t="shared" si="1"/>
        <v>44</v>
      </c>
      <c r="I43" s="8">
        <f t="shared" si="3"/>
        <v>14</v>
      </c>
    </row>
    <row r="44" spans="1:9" ht="19.2" customHeight="1" x14ac:dyDescent="0.3">
      <c r="A44" s="12" t="s">
        <v>20</v>
      </c>
      <c r="B44" s="13">
        <f>IFERROR(INDEX('Index - Oldest Map'!$D$3:$D$28,MATCH(Scorecard!A23,'Index - Oldest Map'!$B$3:$B$27,0)),0)</f>
        <v>0</v>
      </c>
      <c r="C44" s="13">
        <f>IFERROR(INDEX('Index-Most Players'!$C:$C,MATCH(Scorecard!$A23,'Index-Most Players'!$A:$A,0)),0)</f>
        <v>11</v>
      </c>
      <c r="D44" s="13">
        <f>IFERROR(INDEX('Index-Most Clears'!C:C,MATCH(Scorecard!$A23,'Index-Most Clears'!A:A,0)),0)</f>
        <v>0</v>
      </c>
      <c r="E44" s="13">
        <f>IFERROR(INDEX('Index-Most Attempts'!C:C,MATCH(Scorecard!$A23,'Index-Most Attempts'!A:A,0)),0)</f>
        <v>0</v>
      </c>
      <c r="F44" s="13">
        <f>IFERROR(INDEX('Most Stars'!C:C,MATCH(Scorecard!$A23,'Most Stars'!A:A,0)),0)</f>
        <v>12</v>
      </c>
      <c r="G44" s="13">
        <f t="shared" si="1"/>
        <v>23</v>
      </c>
      <c r="I44" s="8">
        <f t="shared" si="3"/>
        <v>18</v>
      </c>
    </row>
    <row r="45" spans="1:9" ht="19.2" customHeight="1" x14ac:dyDescent="0.3">
      <c r="A45" s="12" t="s">
        <v>54</v>
      </c>
      <c r="B45" s="13">
        <f>IFERROR(INDEX('Index - Oldest Map'!$D$3:$D$28,MATCH(Scorecard!A47,'Index - Oldest Map'!$B$3:$B$27,0)),0)</f>
        <v>4</v>
      </c>
      <c r="C45" s="13">
        <f>IFERROR(INDEX('Index-Most Players'!$C:$C,MATCH(Scorecard!$A47,'Index-Most Players'!$A:$A,0)),0)</f>
        <v>0</v>
      </c>
      <c r="D45" s="13">
        <f>IFERROR(INDEX('Index-Most Clears'!C:C,MATCH(Scorecard!$A47,'Index-Most Clears'!A:A,0)),0)</f>
        <v>0</v>
      </c>
      <c r="E45" s="13">
        <f>IFERROR(INDEX('Index-Most Attempts'!C:C,MATCH(Scorecard!$A47,'Index-Most Attempts'!A:A,0)),0)</f>
        <v>0</v>
      </c>
      <c r="F45" s="13">
        <f>IFERROR(INDEX('Most Stars'!C:C,MATCH(Scorecard!$A47,'Most Stars'!A:A,0)),0)</f>
        <v>0</v>
      </c>
      <c r="G45" s="13">
        <f t="shared" si="1"/>
        <v>4</v>
      </c>
      <c r="I45" s="8">
        <f t="shared" si="3"/>
        <v>47</v>
      </c>
    </row>
    <row r="46" spans="1:9" ht="19.2" customHeight="1" x14ac:dyDescent="0.3">
      <c r="A46" s="12" t="s">
        <v>65</v>
      </c>
      <c r="B46" s="13">
        <f>IFERROR(INDEX('Index - Oldest Map'!$D$3:$D$28,MATCH(Scorecard!A56,'Index - Oldest Map'!$B$3:$B$27,0)),0)</f>
        <v>1</v>
      </c>
      <c r="C46" s="13">
        <f>IFERROR(INDEX('Index-Most Players'!$C:$C,MATCH(Scorecard!$A56,'Index-Most Players'!$A:$A,0)),0)</f>
        <v>9</v>
      </c>
      <c r="D46" s="13">
        <f>IFERROR(INDEX('Index-Most Clears'!C:C,MATCH(Scorecard!$A56,'Index-Most Clears'!A:A,0)),0)</f>
        <v>0</v>
      </c>
      <c r="E46" s="13">
        <f>IFERROR(INDEX('Index-Most Attempts'!C:C,MATCH(Scorecard!$A56,'Index-Most Attempts'!A:A,0)),0)</f>
        <v>0</v>
      </c>
      <c r="F46" s="13">
        <f>IFERROR(INDEX('Most Stars'!C:C,MATCH(Scorecard!$A56,'Most Stars'!A:A,0)),0)</f>
        <v>10</v>
      </c>
      <c r="G46" s="13">
        <f t="shared" si="1"/>
        <v>20</v>
      </c>
      <c r="I46" s="8">
        <f t="shared" si="3"/>
        <v>23</v>
      </c>
    </row>
    <row r="47" spans="1:9" ht="19.2" customHeight="1" x14ac:dyDescent="0.3">
      <c r="A47" s="12" t="s">
        <v>22</v>
      </c>
      <c r="B47" s="13">
        <f>IFERROR(INDEX('Index - Oldest Map'!$D$3:$D$28,MATCH(Scorecard!A25,'Index - Oldest Map'!$B$3:$B$27,0)),0)</f>
        <v>0</v>
      </c>
      <c r="C47" s="13">
        <f>IFERROR(INDEX('Index-Most Players'!$C:$C,MATCH(Scorecard!$A25,'Index-Most Players'!$A:$A,0)),0)</f>
        <v>1</v>
      </c>
      <c r="D47" s="13">
        <f>IFERROR(INDEX('Index-Most Clears'!C:C,MATCH(Scorecard!$A25,'Index-Most Clears'!A:A,0)),0)</f>
        <v>17</v>
      </c>
      <c r="E47" s="13">
        <f>IFERROR(INDEX('Index-Most Attempts'!C:C,MATCH(Scorecard!$A25,'Index-Most Attempts'!A:A,0)),0)</f>
        <v>0</v>
      </c>
      <c r="F47" s="13">
        <f>IFERROR(INDEX('Most Stars'!C:C,MATCH(Scorecard!$A25,'Most Stars'!A:A,0)),0)</f>
        <v>0</v>
      </c>
      <c r="G47" s="13">
        <f t="shared" si="1"/>
        <v>18</v>
      </c>
      <c r="I47" s="8">
        <f t="shared" si="3"/>
        <v>24</v>
      </c>
    </row>
    <row r="48" spans="1:9" ht="19.2" customHeight="1" x14ac:dyDescent="0.3">
      <c r="A48" s="12" t="s">
        <v>36</v>
      </c>
      <c r="B48" s="13">
        <f>IFERROR(INDEX('Index - Oldest Map'!$D$3:$D$28,MATCH(Scorecard!A35,'Index - Oldest Map'!$B$3:$B$27,0)),0)</f>
        <v>0</v>
      </c>
      <c r="C48" s="13">
        <f>IFERROR(INDEX('Index-Most Players'!$C:$C,MATCH(Scorecard!$A35,'Index-Most Players'!$A:$A,0)),0)</f>
        <v>0</v>
      </c>
      <c r="D48" s="13">
        <f>IFERROR(INDEX('Index-Most Clears'!C:C,MATCH(Scorecard!$A35,'Index-Most Clears'!A:A,0)),0)</f>
        <v>0</v>
      </c>
      <c r="E48" s="13">
        <f>IFERROR(INDEX('Index-Most Attempts'!C:C,MATCH(Scorecard!$A35,'Index-Most Attempts'!A:A,0)),0)</f>
        <v>12</v>
      </c>
      <c r="F48" s="13">
        <f>IFERROR(INDEX('Most Stars'!C:C,MATCH(Scorecard!$A35,'Most Stars'!A:A,0)),0)</f>
        <v>0</v>
      </c>
      <c r="G48" s="13">
        <f t="shared" si="1"/>
        <v>12</v>
      </c>
      <c r="I48" s="8">
        <f t="shared" si="3"/>
        <v>31</v>
      </c>
    </row>
    <row r="49" spans="1:9" ht="19.2" customHeight="1" x14ac:dyDescent="0.3">
      <c r="A49" s="12" t="s">
        <v>56</v>
      </c>
      <c r="B49" s="13">
        <f>IFERROR(INDEX('Index - Oldest Map'!$D$3:$D$28,MATCH(Scorecard!A49,'Index - Oldest Map'!$B$3:$B$27,0)),0)</f>
        <v>0</v>
      </c>
      <c r="C49" s="13">
        <f>IFERROR(INDEX('Index-Most Players'!$C:$C,MATCH(Scorecard!$A49,'Index-Most Players'!$A:$A,0)),0)</f>
        <v>0</v>
      </c>
      <c r="D49" s="13">
        <f>IFERROR(INDEX('Index-Most Clears'!C:C,MATCH(Scorecard!$A49,'Index-Most Clears'!A:A,0)),0)</f>
        <v>5</v>
      </c>
      <c r="E49" s="13">
        <f>IFERROR(INDEX('Index-Most Attempts'!C:C,MATCH(Scorecard!$A49,'Index-Most Attempts'!A:A,0)),0)</f>
        <v>0</v>
      </c>
      <c r="F49" s="13">
        <f>IFERROR(INDEX('Most Stars'!C:C,MATCH(Scorecard!$A49,'Most Stars'!A:A,0)),0)</f>
        <v>0</v>
      </c>
      <c r="G49" s="13">
        <f t="shared" si="1"/>
        <v>5</v>
      </c>
      <c r="I49" s="8">
        <f t="shared" si="3"/>
        <v>44</v>
      </c>
    </row>
    <row r="50" spans="1:9" ht="19.2" customHeight="1" x14ac:dyDescent="0.3">
      <c r="A50" s="12" t="s">
        <v>24</v>
      </c>
      <c r="B50" s="13">
        <f>IFERROR(INDEX('Index - Oldest Map'!$D$3:$D$28,MATCH(Scorecard!A27,'Index - Oldest Map'!$B$3:$B$27,0)),0)</f>
        <v>18</v>
      </c>
      <c r="C50" s="13">
        <f>IFERROR(INDEX('Index-Most Players'!$C:$C,MATCH(Scorecard!$A27,'Index-Most Players'!$A:$A,0)),0)</f>
        <v>0</v>
      </c>
      <c r="D50" s="13">
        <f>IFERROR(INDEX('Index-Most Clears'!C:C,MATCH(Scorecard!$A27,'Index-Most Clears'!A:A,0)),0)</f>
        <v>0</v>
      </c>
      <c r="E50" s="13">
        <f>IFERROR(INDEX('Index-Most Attempts'!C:C,MATCH(Scorecard!$A27,'Index-Most Attempts'!A:A,0)),0)</f>
        <v>0</v>
      </c>
      <c r="F50" s="13">
        <f>IFERROR(INDEX('Most Stars'!C:C,MATCH(Scorecard!$A27,'Most Stars'!A:A,0)),0)</f>
        <v>0</v>
      </c>
      <c r="G50" s="13">
        <f t="shared" si="1"/>
        <v>18</v>
      </c>
      <c r="I50" s="8">
        <f t="shared" si="3"/>
        <v>24</v>
      </c>
    </row>
    <row r="51" spans="1:9" ht="19.2" customHeight="1" x14ac:dyDescent="0.3">
      <c r="A51" s="12" t="s">
        <v>58</v>
      </c>
      <c r="B51" s="13">
        <f>IFERROR(INDEX('Index - Oldest Map'!$D$3:$D$28,MATCH(Scorecard!A51,'Index - Oldest Map'!$B$3:$B$27,0)),0)</f>
        <v>0</v>
      </c>
      <c r="C51" s="13">
        <f>IFERROR(INDEX('Index-Most Players'!$C:$C,MATCH(Scorecard!$A51,'Index-Most Players'!$A:$A,0)),0)</f>
        <v>0</v>
      </c>
      <c r="D51" s="13">
        <f>IFERROR(INDEX('Index-Most Clears'!C:C,MATCH(Scorecard!$A51,'Index-Most Clears'!A:A,0)),0)</f>
        <v>3</v>
      </c>
      <c r="E51" s="13">
        <f>IFERROR(INDEX('Index-Most Attempts'!C:C,MATCH(Scorecard!$A51,'Index-Most Attempts'!A:A,0)),0)</f>
        <v>0</v>
      </c>
      <c r="F51" s="13">
        <f>IFERROR(INDEX('Most Stars'!C:C,MATCH(Scorecard!$A51,'Most Stars'!A:A,0)),0)</f>
        <v>0</v>
      </c>
      <c r="G51" s="13">
        <f t="shared" si="1"/>
        <v>3</v>
      </c>
      <c r="I51" s="8">
        <f t="shared" si="3"/>
        <v>51</v>
      </c>
    </row>
    <row r="52" spans="1:9" ht="19.2" customHeight="1" x14ac:dyDescent="0.3">
      <c r="A52" s="12" t="s">
        <v>55</v>
      </c>
      <c r="B52" s="13">
        <f>IFERROR(INDEX('Index - Oldest Map'!$D$3:$D$28,MATCH(Scorecard!A48,'Index - Oldest Map'!$B$3:$B$27,0)),0)</f>
        <v>0</v>
      </c>
      <c r="C52" s="13">
        <f>IFERROR(INDEX('Index-Most Players'!$C:$C,MATCH(Scorecard!$A48,'Index-Most Players'!$A:$A,0)),0)</f>
        <v>5</v>
      </c>
      <c r="D52" s="13">
        <f>IFERROR(INDEX('Index-Most Clears'!C:C,MATCH(Scorecard!$A48,'Index-Most Clears'!A:A,0)),0)</f>
        <v>0</v>
      </c>
      <c r="E52" s="13">
        <f>IFERROR(INDEX('Index-Most Attempts'!C:C,MATCH(Scorecard!$A48,'Index-Most Attempts'!A:A,0)),0)</f>
        <v>0</v>
      </c>
      <c r="F52" s="13">
        <f>IFERROR(INDEX('Most Stars'!C:C,MATCH(Scorecard!$A48,'Most Stars'!A:A,0)),0)</f>
        <v>0</v>
      </c>
      <c r="G52" s="13">
        <f t="shared" si="1"/>
        <v>5</v>
      </c>
      <c r="I52" s="8">
        <f t="shared" si="3"/>
        <v>44</v>
      </c>
    </row>
    <row r="53" spans="1:9" ht="19.2" customHeight="1" x14ac:dyDescent="0.3">
      <c r="A53" s="12" t="s">
        <v>66</v>
      </c>
      <c r="B53" s="13">
        <f>IFERROR(INDEX('Index - Oldest Map'!$D$3:$D$28,MATCH(Scorecard!A57,'Index - Oldest Map'!$B$3:$B$27,0)),0)</f>
        <v>0</v>
      </c>
      <c r="C53" s="13">
        <f>IFERROR(INDEX('Index-Most Players'!$C:$C,MATCH(Scorecard!$A57,'Index-Most Players'!$A:$A,0)),0)</f>
        <v>0</v>
      </c>
      <c r="D53" s="13">
        <f>IFERROR(INDEX('Index-Most Clears'!C:C,MATCH(Scorecard!$A57,'Index-Most Clears'!A:A,0)),0)</f>
        <v>2</v>
      </c>
      <c r="E53" s="13">
        <f>IFERROR(INDEX('Index-Most Attempts'!C:C,MATCH(Scorecard!$A57,'Index-Most Attempts'!A:A,0)),0)</f>
        <v>0</v>
      </c>
      <c r="F53" s="13">
        <f>IFERROR(INDEX('Most Stars'!C:C,MATCH(Scorecard!$A57,'Most Stars'!A:A,0)),0)</f>
        <v>0</v>
      </c>
      <c r="G53" s="13">
        <f t="shared" si="1"/>
        <v>2</v>
      </c>
      <c r="I53" s="8">
        <f t="shared" si="3"/>
        <v>53</v>
      </c>
    </row>
    <row r="54" spans="1:9" ht="19.2" customHeight="1" x14ac:dyDescent="0.3">
      <c r="A54" s="12" t="s">
        <v>53</v>
      </c>
      <c r="B54" s="13">
        <f>IFERROR(INDEX('Index - Oldest Map'!$D$3:$D$28,MATCH(Scorecard!A46,'Index - Oldest Map'!$B$3:$B$27,0)),0)</f>
        <v>0</v>
      </c>
      <c r="C54" s="13">
        <f>IFERROR(INDEX('Index-Most Players'!$C:$C,MATCH(Scorecard!$A46,'Index-Most Players'!$A:$A,0)),0)</f>
        <v>0</v>
      </c>
      <c r="D54" s="13">
        <f>IFERROR(INDEX('Index-Most Clears'!C:C,MATCH(Scorecard!$A46,'Index-Most Clears'!A:A,0)),0)</f>
        <v>0</v>
      </c>
      <c r="E54" s="13">
        <f>IFERROR(INDEX('Index-Most Attempts'!C:C,MATCH(Scorecard!$A46,'Index-Most Attempts'!A:A,0)),0)</f>
        <v>6</v>
      </c>
      <c r="F54" s="13">
        <f>IFERROR(INDEX('Most Stars'!C:C,MATCH(Scorecard!$A46,'Most Stars'!A:A,0)),0)</f>
        <v>0</v>
      </c>
      <c r="G54" s="13">
        <f t="shared" si="1"/>
        <v>6</v>
      </c>
      <c r="I54" s="8">
        <f t="shared" si="3"/>
        <v>41</v>
      </c>
    </row>
    <row r="55" spans="1:9" ht="19.2" customHeight="1" x14ac:dyDescent="0.3">
      <c r="A55" s="12" t="s">
        <v>67</v>
      </c>
      <c r="B55" s="13">
        <f>IFERROR(INDEX('Index - Oldest Map'!$D$3:$D$28,MATCH(Scorecard!A58,'Index - Oldest Map'!$B$3:$B$27,0)),0)</f>
        <v>0</v>
      </c>
      <c r="C55" s="13">
        <f>IFERROR(INDEX('Index-Most Players'!$C:$C,MATCH(Scorecard!$A58,'Index-Most Players'!$A:$A,0)),0)</f>
        <v>0</v>
      </c>
      <c r="D55" s="13">
        <f>IFERROR(INDEX('Index-Most Clears'!C:C,MATCH(Scorecard!$A58,'Index-Most Clears'!A:A,0)),0)</f>
        <v>0</v>
      </c>
      <c r="E55" s="13">
        <f>IFERROR(INDEX('Index-Most Attempts'!C:C,MATCH(Scorecard!$A58,'Index-Most Attempts'!A:A,0)),0)</f>
        <v>2</v>
      </c>
      <c r="F55" s="13">
        <f>IFERROR(INDEX('Most Stars'!C:C,MATCH(Scorecard!$A58,'Most Stars'!A:A,0)),0)</f>
        <v>0</v>
      </c>
      <c r="G55" s="13">
        <f t="shared" si="1"/>
        <v>2</v>
      </c>
      <c r="I55" s="8">
        <f t="shared" si="3"/>
        <v>53</v>
      </c>
    </row>
    <row r="56" spans="1:9" ht="19.2" customHeight="1" x14ac:dyDescent="0.3">
      <c r="A56" s="12" t="s">
        <v>25</v>
      </c>
      <c r="B56" s="13">
        <f>IFERROR(INDEX('Index - Oldest Map'!$D$3:$D$28,MATCH(Scorecard!A28,'Index - Oldest Map'!$B$3:$B$27,0)),0)</f>
        <v>0</v>
      </c>
      <c r="C56" s="13">
        <f>IFERROR(INDEX('Index-Most Players'!$C:$C,MATCH(Scorecard!$A28,'Index-Most Players'!$A:$A,0)),0)</f>
        <v>0</v>
      </c>
      <c r="D56" s="13">
        <f>IFERROR(INDEX('Index-Most Clears'!C:C,MATCH(Scorecard!$A28,'Index-Most Clears'!A:A,0)),0)</f>
        <v>16</v>
      </c>
      <c r="E56" s="13">
        <f>IFERROR(INDEX('Index-Most Attempts'!C:C,MATCH(Scorecard!$A28,'Index-Most Attempts'!A:A,0)),0)</f>
        <v>5</v>
      </c>
      <c r="F56" s="13">
        <f>IFERROR(INDEX('Most Stars'!C:C,MATCH(Scorecard!$A28,'Most Stars'!A:A,0)),0)</f>
        <v>0</v>
      </c>
      <c r="G56" s="13">
        <f t="shared" si="1"/>
        <v>21</v>
      </c>
      <c r="I56" s="8">
        <f t="shared" si="3"/>
        <v>22</v>
      </c>
    </row>
    <row r="57" spans="1:9" ht="19.2" customHeight="1" x14ac:dyDescent="0.3">
      <c r="A57" s="12" t="s">
        <v>59</v>
      </c>
      <c r="B57" s="13">
        <f>IFERROR(INDEX('Index - Oldest Map'!$D$3:$D$28,MATCH(Scorecard!A52,'Index - Oldest Map'!$B$3:$B$27,0)),0)</f>
        <v>0</v>
      </c>
      <c r="C57" s="13">
        <f>IFERROR(INDEX('Index-Most Players'!$C:$C,MATCH(Scorecard!$A52,'Index-Most Players'!$A:$A,0)),0)</f>
        <v>0</v>
      </c>
      <c r="D57" s="13">
        <f>IFERROR(INDEX('Index-Most Clears'!C:C,MATCH(Scorecard!$A52,'Index-Most Clears'!A:A,0)),0)</f>
        <v>6</v>
      </c>
      <c r="E57" s="13">
        <f>IFERROR(INDEX('Index-Most Attempts'!C:C,MATCH(Scorecard!$A52,'Index-Most Attempts'!A:A,0)),0)</f>
        <v>0</v>
      </c>
      <c r="F57" s="13">
        <f>IFERROR(INDEX('Most Stars'!C:C,MATCH(Scorecard!$A52,'Most Stars'!A:A,0)),0)</f>
        <v>0</v>
      </c>
      <c r="G57" s="13">
        <f t="shared" si="1"/>
        <v>6</v>
      </c>
      <c r="I57" s="8">
        <f t="shared" si="3"/>
        <v>41</v>
      </c>
    </row>
    <row r="58" spans="1:9" ht="19.2" customHeight="1" x14ac:dyDescent="0.3">
      <c r="A58" s="12" t="s">
        <v>68</v>
      </c>
      <c r="B58" s="13">
        <f>IFERROR(INDEX('Index - Oldest Map'!$D$3:$D$28,MATCH(Scorecard!A59,'Index - Oldest Map'!$B$3:$B$27,0)),0)</f>
        <v>0</v>
      </c>
      <c r="C58" s="13">
        <f>IFERROR(INDEX('Index-Most Players'!$C:$C,MATCH(Scorecard!$A59,'Index-Most Players'!$A:$A,0)),0)</f>
        <v>0</v>
      </c>
      <c r="D58" s="13">
        <f>IFERROR(INDEX('Index-Most Clears'!C:C,MATCH(Scorecard!$A59,'Index-Most Clears'!A:A,0)),0)</f>
        <v>0</v>
      </c>
      <c r="E58" s="13">
        <f>IFERROR(INDEX('Index-Most Attempts'!C:C,MATCH(Scorecard!$A59,'Index-Most Attempts'!A:A,0)),0)</f>
        <v>0</v>
      </c>
      <c r="F58" s="13">
        <f>IFERROR(INDEX('Most Stars'!C:C,MATCH(Scorecard!$A59,'Most Stars'!A:A,0)),0)</f>
        <v>2</v>
      </c>
      <c r="G58" s="13">
        <f t="shared" si="1"/>
        <v>2</v>
      </c>
      <c r="I58" s="8">
        <f t="shared" si="3"/>
        <v>53</v>
      </c>
    </row>
    <row r="59" spans="1:9" ht="19.2" customHeight="1" x14ac:dyDescent="0.3">
      <c r="A59" s="12" t="s">
        <v>75</v>
      </c>
      <c r="B59" s="13">
        <f>IFERROR(INDEX('Index - Oldest Map'!$D$3:$D$28,MATCH(Scorecard!A60,'Index - Oldest Map'!$B$3:$B$27,0)),0)</f>
        <v>0</v>
      </c>
      <c r="C59" s="13">
        <f>IFERROR(INDEX('Index-Most Players'!$C:$C,MATCH(Scorecard!$A60,'Index-Most Players'!$A:$A,0)),0)</f>
        <v>0</v>
      </c>
      <c r="D59" s="13">
        <f>IFERROR(INDEX('Index-Most Clears'!C:C,MATCH(Scorecard!$A60,'Index-Most Clears'!A:A,0)),0)</f>
        <v>1</v>
      </c>
      <c r="E59" s="13">
        <f>IFERROR(INDEX('Index-Most Attempts'!C:C,MATCH(Scorecard!$A60,'Index-Most Attempts'!A:A,0)),0)</f>
        <v>0</v>
      </c>
      <c r="F59" s="13">
        <f>IFERROR(INDEX('Most Stars'!C:C,MATCH(Scorecard!$A60,'Most Stars'!A:A,0)),0)</f>
        <v>0</v>
      </c>
      <c r="G59" s="13">
        <f t="shared" si="1"/>
        <v>1</v>
      </c>
      <c r="I59" s="8">
        <f t="shared" si="3"/>
        <v>57</v>
      </c>
    </row>
    <row r="60" spans="1:9" ht="19.2" customHeight="1" x14ac:dyDescent="0.3">
      <c r="A60" s="12" t="s">
        <v>60</v>
      </c>
      <c r="B60" s="13">
        <f>IFERROR(INDEX('Index - Oldest Map'!$D$3:$D$28,MATCH(Scorecard!A53,'Index - Oldest Map'!$B$3:$B$27,0)),0)</f>
        <v>0</v>
      </c>
      <c r="C60" s="13">
        <f>IFERROR(INDEX('Index-Most Players'!$C:$C,MATCH(Scorecard!$A53,'Index-Most Players'!$A:$A,0)),0)</f>
        <v>0</v>
      </c>
      <c r="D60" s="13">
        <f>IFERROR(INDEX('Index-Most Clears'!C:C,MATCH(Scorecard!$A53,'Index-Most Clears'!A:A,0)),0)</f>
        <v>0</v>
      </c>
      <c r="E60" s="13">
        <f>IFERROR(INDEX('Index-Most Attempts'!C:C,MATCH(Scorecard!$A53,'Index-Most Attempts'!A:A,0)),0)</f>
        <v>4</v>
      </c>
      <c r="F60" s="13">
        <f>IFERROR(INDEX('Most Stars'!C:C,MATCH(Scorecard!$A53,'Most Stars'!A:A,0)),0)</f>
        <v>0</v>
      </c>
      <c r="G60" s="13">
        <f t="shared" si="1"/>
        <v>4</v>
      </c>
      <c r="I60" s="8">
        <f t="shared" si="3"/>
        <v>47</v>
      </c>
    </row>
    <row r="61" spans="1:9" ht="19.2" customHeight="1" x14ac:dyDescent="0.3">
      <c r="A61" s="12" t="s">
        <v>76</v>
      </c>
      <c r="B61" s="13">
        <f>IFERROR(INDEX('Index - Oldest Map'!$D$3:$D$28,MATCH(Scorecard!A61,'Index - Oldest Map'!$B$3:$B$27,0)),0)</f>
        <v>0</v>
      </c>
      <c r="C61" s="13">
        <f>IFERROR(INDEX('Index-Most Players'!$C:$C,MATCH(Scorecard!$A61,'Index-Most Players'!$A:$A,0)),0)</f>
        <v>0</v>
      </c>
      <c r="D61" s="13">
        <f>IFERROR(INDEX('Index-Most Clears'!C:C,MATCH(Scorecard!$A61,'Index-Most Clears'!A:A,0)),0)</f>
        <v>0</v>
      </c>
      <c r="E61" s="13">
        <f>IFERROR(INDEX('Index-Most Attempts'!C:C,MATCH(Scorecard!$A61,'Index-Most Attempts'!A:A,0)),0)</f>
        <v>0</v>
      </c>
      <c r="F61" s="13">
        <f>IFERROR(INDEX('Most Stars'!C:C,MATCH(Scorecard!$A61,'Most Stars'!A:A,0)),0)</f>
        <v>1</v>
      </c>
      <c r="G61" s="13">
        <f t="shared" si="1"/>
        <v>1</v>
      </c>
      <c r="I61" s="8">
        <f t="shared" si="3"/>
        <v>57</v>
      </c>
    </row>
  </sheetData>
  <autoFilter ref="G3:I61"/>
  <mergeCells count="2">
    <mergeCell ref="A2:G2"/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"/>
  <sheetViews>
    <sheetView workbookViewId="0">
      <selection activeCell="G28" sqref="G28"/>
    </sheetView>
  </sheetViews>
  <sheetFormatPr defaultRowHeight="14.4" x14ac:dyDescent="0.3"/>
  <cols>
    <col min="2" max="2" width="17.88671875" bestFit="1" customWidth="1"/>
    <col min="3" max="3" width="20.33203125" bestFit="1" customWidth="1"/>
  </cols>
  <sheetData>
    <row r="1" spans="1:7" x14ac:dyDescent="0.3">
      <c r="A1" s="7" t="s">
        <v>28</v>
      </c>
      <c r="B1" s="7"/>
      <c r="C1" s="7"/>
    </row>
    <row r="2" spans="1:7" x14ac:dyDescent="0.3">
      <c r="A2" t="s">
        <v>27</v>
      </c>
      <c r="B2" s="3" t="s">
        <v>0</v>
      </c>
      <c r="C2" t="s">
        <v>26</v>
      </c>
      <c r="D2" t="s">
        <v>29</v>
      </c>
      <c r="G2" t="s">
        <v>42</v>
      </c>
    </row>
    <row r="3" spans="1:7" x14ac:dyDescent="0.3">
      <c r="A3">
        <v>1</v>
      </c>
      <c r="B3" s="4" t="s">
        <v>1</v>
      </c>
      <c r="C3" s="2">
        <v>353.5</v>
      </c>
      <c r="D3">
        <v>25</v>
      </c>
      <c r="G3" t="str">
        <f>IF(MATCH($B3,Scorecard!A:A,0),"","Yes")</f>
        <v/>
      </c>
    </row>
    <row r="4" spans="1:7" x14ac:dyDescent="0.3">
      <c r="A4">
        <v>2</v>
      </c>
      <c r="B4" s="4" t="s">
        <v>2</v>
      </c>
      <c r="C4" s="2">
        <v>329.1</v>
      </c>
      <c r="D4">
        <v>24</v>
      </c>
      <c r="G4" t="str">
        <f>IF(MATCH($B4,Scorecard!A:A,0),"","Yes")</f>
        <v/>
      </c>
    </row>
    <row r="5" spans="1:7" x14ac:dyDescent="0.3">
      <c r="A5">
        <v>3</v>
      </c>
      <c r="B5" s="4" t="s">
        <v>3</v>
      </c>
      <c r="C5" s="2">
        <v>299.3</v>
      </c>
      <c r="D5">
        <v>23</v>
      </c>
      <c r="G5" t="str">
        <f>IF(MATCH($B5,Scorecard!A:A,0),"","Yes")</f>
        <v/>
      </c>
    </row>
    <row r="6" spans="1:7" x14ac:dyDescent="0.3">
      <c r="A6">
        <v>4</v>
      </c>
      <c r="B6" s="4" t="s">
        <v>4</v>
      </c>
      <c r="C6" s="2">
        <v>256.64999999999998</v>
      </c>
      <c r="D6">
        <v>22</v>
      </c>
      <c r="G6" t="str">
        <f>IF(MATCH($B6,Scorecard!A:A,0),"","Yes")</f>
        <v/>
      </c>
    </row>
    <row r="7" spans="1:7" x14ac:dyDescent="0.3">
      <c r="A7">
        <v>5</v>
      </c>
      <c r="B7" s="4" t="s">
        <v>5</v>
      </c>
      <c r="C7" s="2">
        <v>236.4</v>
      </c>
      <c r="D7">
        <v>21</v>
      </c>
      <c r="G7" t="str">
        <f>IF(MATCH($B7,Scorecard!A:A,0),"","Yes")</f>
        <v/>
      </c>
    </row>
    <row r="8" spans="1:7" x14ac:dyDescent="0.3">
      <c r="A8">
        <v>6</v>
      </c>
      <c r="B8" s="4" t="s">
        <v>6</v>
      </c>
      <c r="C8" s="2">
        <v>171.95</v>
      </c>
      <c r="D8">
        <v>20</v>
      </c>
      <c r="G8" t="str">
        <f>IF(MATCH($B8,Scorecard!A:A,0),"","Yes")</f>
        <v/>
      </c>
    </row>
    <row r="9" spans="1:7" x14ac:dyDescent="0.3">
      <c r="A9">
        <v>7</v>
      </c>
      <c r="B9" s="4" t="s">
        <v>7</v>
      </c>
      <c r="C9" s="2">
        <v>167</v>
      </c>
      <c r="D9">
        <v>19</v>
      </c>
      <c r="G9" t="str">
        <f>IF(MATCH($B9,Scorecard!A:A,0),"","Yes")</f>
        <v/>
      </c>
    </row>
    <row r="10" spans="1:7" x14ac:dyDescent="0.3">
      <c r="A10">
        <v>8</v>
      </c>
      <c r="B10" s="4" t="s">
        <v>8</v>
      </c>
      <c r="C10" s="2">
        <v>143</v>
      </c>
      <c r="D10">
        <v>18</v>
      </c>
      <c r="G10" t="str">
        <f>IF(MATCH($B10,Scorecard!A:A,0),"","Yes")</f>
        <v/>
      </c>
    </row>
    <row r="11" spans="1:7" x14ac:dyDescent="0.3">
      <c r="A11">
        <v>9</v>
      </c>
      <c r="B11" s="4" t="s">
        <v>9</v>
      </c>
      <c r="C11" s="2">
        <v>138.9</v>
      </c>
      <c r="D11">
        <v>17</v>
      </c>
      <c r="G11" t="str">
        <f>IF(MATCH($B11,Scorecard!A:A,0),"","Yes")</f>
        <v/>
      </c>
    </row>
    <row r="12" spans="1:7" x14ac:dyDescent="0.3">
      <c r="A12">
        <v>10</v>
      </c>
      <c r="B12" s="4" t="s">
        <v>10</v>
      </c>
      <c r="C12" s="2">
        <v>138.5</v>
      </c>
      <c r="D12">
        <v>16</v>
      </c>
      <c r="G12" t="str">
        <f>IF(MATCH($B12,Scorecard!A:A,0),"","Yes")</f>
        <v/>
      </c>
    </row>
    <row r="13" spans="1:7" x14ac:dyDescent="0.3">
      <c r="A13">
        <v>11</v>
      </c>
      <c r="B13" s="4" t="s">
        <v>11</v>
      </c>
      <c r="C13" s="2">
        <v>118.6</v>
      </c>
      <c r="D13">
        <v>15</v>
      </c>
      <c r="G13" t="str">
        <f>IF(MATCH($B13,Scorecard!A:A,0),"","Yes")</f>
        <v/>
      </c>
    </row>
    <row r="14" spans="1:7" x14ac:dyDescent="0.3">
      <c r="A14">
        <v>12</v>
      </c>
      <c r="B14" s="4" t="s">
        <v>12</v>
      </c>
      <c r="C14" s="2">
        <v>118</v>
      </c>
      <c r="D14">
        <v>14</v>
      </c>
      <c r="G14" t="str">
        <f>IF(MATCH($B14,Scorecard!A:A,0),"","Yes")</f>
        <v/>
      </c>
    </row>
    <row r="15" spans="1:7" x14ac:dyDescent="0.3">
      <c r="A15">
        <v>13</v>
      </c>
      <c r="B15" s="4" t="s">
        <v>13</v>
      </c>
      <c r="C15" s="2">
        <v>102.6</v>
      </c>
      <c r="D15">
        <v>13</v>
      </c>
      <c r="G15" t="str">
        <f>IF(MATCH($B15,Scorecard!A:A,0),"","Yes")</f>
        <v/>
      </c>
    </row>
    <row r="16" spans="1:7" x14ac:dyDescent="0.3">
      <c r="A16">
        <v>14</v>
      </c>
      <c r="B16" s="4" t="s">
        <v>14</v>
      </c>
      <c r="C16" s="2">
        <v>94.8</v>
      </c>
      <c r="D16">
        <v>12</v>
      </c>
      <c r="G16" t="str">
        <f>IF(MATCH($B16,Scorecard!A:A,0),"","Yes")</f>
        <v/>
      </c>
    </row>
    <row r="17" spans="1:7" x14ac:dyDescent="0.3">
      <c r="A17">
        <v>15</v>
      </c>
      <c r="B17" s="4" t="s">
        <v>15</v>
      </c>
      <c r="C17" s="2">
        <v>84.95</v>
      </c>
      <c r="D17">
        <v>11</v>
      </c>
      <c r="G17" t="str">
        <f>IF(MATCH($B17,Scorecard!A:A,0),"","Yes")</f>
        <v/>
      </c>
    </row>
    <row r="18" spans="1:7" x14ac:dyDescent="0.3">
      <c r="A18">
        <v>16</v>
      </c>
      <c r="B18" s="4" t="s">
        <v>16</v>
      </c>
      <c r="C18" s="2">
        <v>51.25</v>
      </c>
      <c r="D18">
        <v>10</v>
      </c>
      <c r="G18" t="str">
        <f>IF(MATCH($B18,Scorecard!A:A,0),"","Yes")</f>
        <v/>
      </c>
    </row>
    <row r="19" spans="1:7" x14ac:dyDescent="0.3">
      <c r="A19">
        <v>17</v>
      </c>
      <c r="B19" s="4" t="s">
        <v>17</v>
      </c>
      <c r="C19" s="2">
        <v>39.200000000000003</v>
      </c>
      <c r="D19">
        <v>9</v>
      </c>
      <c r="G19" t="str">
        <f>IF(MATCH($B19,Scorecard!A:A,0),"","Yes")</f>
        <v/>
      </c>
    </row>
    <row r="20" spans="1:7" x14ac:dyDescent="0.3">
      <c r="A20">
        <v>18</v>
      </c>
      <c r="B20" s="4" t="s">
        <v>18</v>
      </c>
      <c r="C20" s="2">
        <v>35.1</v>
      </c>
      <c r="D20">
        <v>8</v>
      </c>
      <c r="G20" t="str">
        <f>IF(MATCH($B20,Scorecard!A:A,0),"","Yes")</f>
        <v/>
      </c>
    </row>
    <row r="21" spans="1:7" x14ac:dyDescent="0.3">
      <c r="A21">
        <v>19</v>
      </c>
      <c r="B21" s="4" t="s">
        <v>19</v>
      </c>
      <c r="C21" s="2">
        <v>19.3</v>
      </c>
      <c r="D21">
        <v>7</v>
      </c>
      <c r="G21" t="str">
        <f>IF(MATCH($B21,Scorecard!A:A,0),"","Yes")</f>
        <v/>
      </c>
    </row>
    <row r="22" spans="1:7" x14ac:dyDescent="0.3">
      <c r="A22">
        <v>20</v>
      </c>
      <c r="B22" s="4" t="s">
        <v>20</v>
      </c>
      <c r="C22" s="2">
        <v>16.75</v>
      </c>
      <c r="D22">
        <v>6</v>
      </c>
      <c r="G22" t="str">
        <f>IF(MATCH($B22,Scorecard!A:A,0),"","Yes")</f>
        <v/>
      </c>
    </row>
    <row r="23" spans="1:7" x14ac:dyDescent="0.3">
      <c r="A23">
        <v>21</v>
      </c>
      <c r="B23" s="4" t="s">
        <v>21</v>
      </c>
      <c r="C23" s="2">
        <v>14.1</v>
      </c>
      <c r="D23">
        <v>5</v>
      </c>
      <c r="G23" t="str">
        <f>IF(MATCH($B23,Scorecard!A:A,0),"","Yes")</f>
        <v/>
      </c>
    </row>
    <row r="24" spans="1:7" x14ac:dyDescent="0.3">
      <c r="A24">
        <v>22</v>
      </c>
      <c r="B24" s="4" t="s">
        <v>22</v>
      </c>
      <c r="C24" s="2">
        <v>14.1</v>
      </c>
      <c r="D24">
        <v>4</v>
      </c>
      <c r="G24" t="str">
        <f>IF(MATCH($B24,Scorecard!A:A,0),"","Yes")</f>
        <v/>
      </c>
    </row>
    <row r="25" spans="1:7" x14ac:dyDescent="0.3">
      <c r="A25">
        <v>23</v>
      </c>
      <c r="B25" s="4" t="s">
        <v>23</v>
      </c>
      <c r="C25" s="2">
        <v>12.2</v>
      </c>
      <c r="D25">
        <v>3</v>
      </c>
      <c r="G25" t="str">
        <f>IF(MATCH($B25,Scorecard!A:A,0),"","Yes")</f>
        <v/>
      </c>
    </row>
    <row r="26" spans="1:7" x14ac:dyDescent="0.3">
      <c r="A26">
        <v>24</v>
      </c>
      <c r="B26" s="4" t="s">
        <v>24</v>
      </c>
      <c r="C26" s="2">
        <v>7.9</v>
      </c>
      <c r="D26">
        <v>2</v>
      </c>
      <c r="G26" t="str">
        <f>IF(MATCH($B26,Scorecard!A:A,0),"","Yes")</f>
        <v/>
      </c>
    </row>
    <row r="27" spans="1:7" x14ac:dyDescent="0.3">
      <c r="A27">
        <v>25</v>
      </c>
      <c r="B27" s="4" t="s">
        <v>25</v>
      </c>
      <c r="C27" s="2">
        <v>7.2</v>
      </c>
      <c r="D27">
        <v>1</v>
      </c>
      <c r="G27" t="str">
        <f>IF(MATCH($B27,Scorecard!A:A,0),"","Yes")</f>
        <v/>
      </c>
    </row>
    <row r="28" spans="1:7" x14ac:dyDescent="0.3">
      <c r="D28">
        <v>0</v>
      </c>
      <c r="G28" t="e">
        <f>IF(MATCH($B28,Scorecard!A:A,0),"","Yes")</f>
        <v>#N/A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F28"/>
  <sheetViews>
    <sheetView workbookViewId="0">
      <selection activeCell="F12" sqref="F12"/>
    </sheetView>
  </sheetViews>
  <sheetFormatPr defaultRowHeight="9.6" x14ac:dyDescent="0.15"/>
  <cols>
    <col min="1" max="1" width="17.88671875" style="1" bestFit="1" customWidth="1"/>
    <col min="2" max="2" width="9.6640625" style="1" bestFit="1" customWidth="1"/>
    <col min="3" max="5" width="8.88671875" style="1"/>
    <col min="6" max="6" width="16" style="1" bestFit="1" customWidth="1"/>
    <col min="7" max="16384" width="8.88671875" style="1"/>
  </cols>
  <sheetData>
    <row r="2" spans="1:6" x14ac:dyDescent="0.15">
      <c r="A2" s="3" t="s">
        <v>0</v>
      </c>
      <c r="B2" s="1" t="s">
        <v>39</v>
      </c>
      <c r="C2" s="1" t="s">
        <v>29</v>
      </c>
      <c r="F2" s="1" t="s">
        <v>44</v>
      </c>
    </row>
    <row r="3" spans="1:6" ht="14.4" x14ac:dyDescent="0.3">
      <c r="A3" s="4" t="s">
        <v>2</v>
      </c>
      <c r="B3" s="5">
        <v>1663542288</v>
      </c>
      <c r="C3" s="1">
        <v>25</v>
      </c>
      <c r="F3" t="str">
        <f>IF(MATCH($A3,Scorecard!A:A,0),"","Yes")</f>
        <v/>
      </c>
    </row>
    <row r="4" spans="1:6" ht="14.4" x14ac:dyDescent="0.3">
      <c r="A4" s="4" t="s">
        <v>4</v>
      </c>
      <c r="B4" s="5">
        <v>1376197500</v>
      </c>
      <c r="C4" s="1">
        <v>24</v>
      </c>
      <c r="F4" t="str">
        <f>IF(MATCH($A4,Scorecard!A:A,0),"","Yes")</f>
        <v/>
      </c>
    </row>
    <row r="5" spans="1:6" ht="14.4" x14ac:dyDescent="0.3">
      <c r="A5" s="4" t="s">
        <v>12</v>
      </c>
      <c r="B5" s="5">
        <v>935523000</v>
      </c>
      <c r="C5" s="1">
        <v>23</v>
      </c>
      <c r="F5" t="str">
        <f>IF(MATCH($A5,Scorecard!A:A,0),"","Yes")</f>
        <v/>
      </c>
    </row>
    <row r="6" spans="1:6" ht="14.4" x14ac:dyDescent="0.3">
      <c r="A6" s="4" t="s">
        <v>6</v>
      </c>
      <c r="B6" s="5">
        <v>653051280</v>
      </c>
      <c r="C6" s="1">
        <v>22</v>
      </c>
      <c r="F6" t="str">
        <f>IF(MATCH($A6,Scorecard!A:A,0),"","Yes")</f>
        <v/>
      </c>
    </row>
    <row r="7" spans="1:6" ht="14.4" x14ac:dyDescent="0.3">
      <c r="A7" s="4" t="s">
        <v>5</v>
      </c>
      <c r="B7" s="5">
        <v>567492747</v>
      </c>
      <c r="C7" s="1">
        <v>21</v>
      </c>
      <c r="F7" t="str">
        <f>IF(MATCH($A7,Scorecard!A:A,0),"","Yes")</f>
        <v/>
      </c>
    </row>
    <row r="8" spans="1:6" ht="14.4" x14ac:dyDescent="0.3">
      <c r="A8" s="4" t="s">
        <v>11</v>
      </c>
      <c r="B8" s="5">
        <v>421107012</v>
      </c>
      <c r="C8" s="1">
        <v>20</v>
      </c>
      <c r="F8" t="str">
        <f>IF(MATCH($A8,Scorecard!A:A,0),"","Yes")</f>
        <v/>
      </c>
    </row>
    <row r="9" spans="1:6" ht="14.4" x14ac:dyDescent="0.3">
      <c r="A9" s="4" t="s">
        <v>30</v>
      </c>
      <c r="B9" s="5">
        <v>347213798</v>
      </c>
      <c r="C9" s="1">
        <v>19</v>
      </c>
      <c r="F9" t="str">
        <f>IF(MATCH($A9,Scorecard!A:A,0),"","Yes")</f>
        <v/>
      </c>
    </row>
    <row r="10" spans="1:6" ht="14.4" x14ac:dyDescent="0.3">
      <c r="A10" s="4" t="s">
        <v>14</v>
      </c>
      <c r="B10" s="5">
        <v>321042700</v>
      </c>
      <c r="C10" s="1">
        <v>18</v>
      </c>
      <c r="F10" t="str">
        <f>IF(MATCH($A10,Scorecard!A:A,0),"","Yes")</f>
        <v/>
      </c>
    </row>
    <row r="11" spans="1:6" ht="14.4" x14ac:dyDescent="0.3">
      <c r="A11" s="4" t="s">
        <v>31</v>
      </c>
      <c r="B11" s="5">
        <v>292322900</v>
      </c>
      <c r="C11" s="1">
        <v>17</v>
      </c>
      <c r="F11" t="str">
        <f>IF(MATCH($A11,Scorecard!A:A,0),"","Yes")</f>
        <v/>
      </c>
    </row>
    <row r="12" spans="1:6" ht="14.4" x14ac:dyDescent="0.3">
      <c r="A12" s="4" t="s">
        <v>9</v>
      </c>
      <c r="B12" s="5">
        <v>218049390</v>
      </c>
      <c r="C12" s="1">
        <v>16</v>
      </c>
      <c r="F12" t="str">
        <f>IF(MATCH($A12,Scorecard!A:A,0),"","Yes")</f>
        <v/>
      </c>
    </row>
    <row r="13" spans="1:6" ht="14.4" x14ac:dyDescent="0.3">
      <c r="A13" s="4" t="s">
        <v>32</v>
      </c>
      <c r="B13" s="5">
        <v>199727563</v>
      </c>
      <c r="C13" s="1">
        <v>15</v>
      </c>
      <c r="F13" t="str">
        <f>IF(MATCH($A13,Scorecard!A:A,0),"","Yes")</f>
        <v/>
      </c>
    </row>
    <row r="14" spans="1:6" ht="14.4" x14ac:dyDescent="0.3">
      <c r="A14" s="4" t="s">
        <v>13</v>
      </c>
      <c r="B14" s="5">
        <v>188703825</v>
      </c>
      <c r="C14" s="1">
        <v>14</v>
      </c>
      <c r="F14" t="str">
        <f>IF(MATCH($A14,Scorecard!A:A,0),"","Yes")</f>
        <v/>
      </c>
    </row>
    <row r="15" spans="1:6" ht="14.4" x14ac:dyDescent="0.3">
      <c r="A15" s="4" t="s">
        <v>10</v>
      </c>
      <c r="B15" s="5">
        <v>141552448</v>
      </c>
      <c r="C15" s="1">
        <v>13</v>
      </c>
      <c r="F15" t="str">
        <f>IF(MATCH($A15,Scorecard!A:A,0),"","Yes")</f>
        <v/>
      </c>
    </row>
    <row r="16" spans="1:6" ht="14.4" x14ac:dyDescent="0.3">
      <c r="A16" s="4" t="s">
        <v>19</v>
      </c>
      <c r="B16" s="5">
        <v>137095575</v>
      </c>
      <c r="C16" s="1">
        <v>12</v>
      </c>
      <c r="F16" t="str">
        <f>IF(MATCH($A16,Scorecard!A:A,0),"","Yes")</f>
        <v/>
      </c>
    </row>
    <row r="17" spans="1:6" ht="14.4" x14ac:dyDescent="0.3">
      <c r="A17" s="4" t="s">
        <v>33</v>
      </c>
      <c r="B17" s="5">
        <v>134493125</v>
      </c>
      <c r="C17" s="1">
        <v>11</v>
      </c>
      <c r="F17" t="str">
        <f>IF(MATCH($A17,Scorecard!A:A,0),"","Yes")</f>
        <v/>
      </c>
    </row>
    <row r="18" spans="1:6" ht="14.4" x14ac:dyDescent="0.3">
      <c r="A18" s="4" t="s">
        <v>7</v>
      </c>
      <c r="B18" s="5">
        <v>116010720</v>
      </c>
      <c r="C18" s="1">
        <v>10</v>
      </c>
      <c r="F18" t="str">
        <f>IF(MATCH($A18,Scorecard!A:A,0),"","Yes")</f>
        <v/>
      </c>
    </row>
    <row r="19" spans="1:6" ht="14.4" x14ac:dyDescent="0.3">
      <c r="A19" s="4" t="s">
        <v>25</v>
      </c>
      <c r="B19" s="5">
        <v>114577001</v>
      </c>
      <c r="C19" s="1">
        <v>9</v>
      </c>
      <c r="F19" t="str">
        <f>IF(MATCH($A19,Scorecard!A:A,0),"","Yes")</f>
        <v/>
      </c>
    </row>
    <row r="20" spans="1:6" ht="14.4" x14ac:dyDescent="0.3">
      <c r="A20" s="4" t="s">
        <v>34</v>
      </c>
      <c r="B20" s="5">
        <v>105086608</v>
      </c>
      <c r="C20" s="1">
        <v>8</v>
      </c>
      <c r="F20" t="str">
        <f>IF(MATCH($A20,Scorecard!A:A,0),"","Yes")</f>
        <v/>
      </c>
    </row>
    <row r="21" spans="1:6" ht="14.4" x14ac:dyDescent="0.3">
      <c r="A21" s="4" t="s">
        <v>35</v>
      </c>
      <c r="B21" s="5">
        <v>77439096</v>
      </c>
      <c r="C21" s="1">
        <v>7</v>
      </c>
      <c r="F21" t="str">
        <f>IF(MATCH($A21,Scorecard!A:A,0),"","Yes")</f>
        <v/>
      </c>
    </row>
    <row r="22" spans="1:6" ht="14.4" x14ac:dyDescent="0.3">
      <c r="A22" s="4" t="s">
        <v>15</v>
      </c>
      <c r="B22" s="5">
        <v>75608104</v>
      </c>
      <c r="C22" s="1">
        <v>6</v>
      </c>
      <c r="F22" t="str">
        <f>IF(MATCH($A22,Scorecard!A:A,0),"","Yes")</f>
        <v/>
      </c>
    </row>
    <row r="23" spans="1:6" ht="14.4" x14ac:dyDescent="0.3">
      <c r="A23" s="4" t="s">
        <v>36</v>
      </c>
      <c r="B23" s="5">
        <v>73819500</v>
      </c>
      <c r="C23" s="1">
        <v>5</v>
      </c>
      <c r="F23" t="str">
        <f>IF(MATCH($A23,Scorecard!A:A,0),"","Yes")</f>
        <v/>
      </c>
    </row>
    <row r="24" spans="1:6" ht="14.4" x14ac:dyDescent="0.3">
      <c r="A24" s="4" t="s">
        <v>37</v>
      </c>
      <c r="B24" s="5">
        <v>58534570</v>
      </c>
      <c r="C24" s="1">
        <v>4</v>
      </c>
      <c r="F24" t="str">
        <f>IF(MATCH($A24,Scorecard!A:A,0),"","Yes")</f>
        <v/>
      </c>
    </row>
    <row r="25" spans="1:6" ht="14.4" x14ac:dyDescent="0.3">
      <c r="A25" s="4" t="s">
        <v>16</v>
      </c>
      <c r="B25" s="5">
        <v>58078720</v>
      </c>
      <c r="C25" s="1">
        <v>3</v>
      </c>
      <c r="F25" t="str">
        <f>IF(MATCH($A25,Scorecard!A:A,0),"","Yes")</f>
        <v/>
      </c>
    </row>
    <row r="26" spans="1:6" ht="14.4" x14ac:dyDescent="0.3">
      <c r="A26" s="4" t="s">
        <v>18</v>
      </c>
      <c r="B26" s="5">
        <v>53513856</v>
      </c>
      <c r="C26" s="1">
        <v>2</v>
      </c>
      <c r="F26" t="str">
        <f>IF(MATCH($A26,Scorecard!A:A,0),"","Yes")</f>
        <v/>
      </c>
    </row>
    <row r="27" spans="1:6" ht="14.4" x14ac:dyDescent="0.3">
      <c r="A27" s="4" t="s">
        <v>38</v>
      </c>
      <c r="B27" s="5">
        <v>50467007</v>
      </c>
      <c r="C27" s="1">
        <v>1</v>
      </c>
      <c r="F27" t="str">
        <f>IF(MATCH($A27,Scorecard!A:A,0),"","Yes")</f>
        <v/>
      </c>
    </row>
    <row r="28" spans="1:6" x14ac:dyDescent="0.15">
      <c r="C28" s="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7"/>
  <sheetViews>
    <sheetView workbookViewId="0">
      <selection activeCell="H30" sqref="H30"/>
    </sheetView>
  </sheetViews>
  <sheetFormatPr defaultRowHeight="9.6" x14ac:dyDescent="0.15"/>
  <cols>
    <col min="1" max="1" width="17.88671875" style="1" bestFit="1" customWidth="1"/>
    <col min="2" max="2" width="11.44140625" style="1" bestFit="1" customWidth="1"/>
    <col min="3" max="4" width="8.88671875" style="1"/>
    <col min="5" max="5" width="16" style="1" bestFit="1" customWidth="1"/>
    <col min="6" max="16384" width="8.88671875" style="1"/>
  </cols>
  <sheetData>
    <row r="1" spans="1:9" x14ac:dyDescent="0.15">
      <c r="A1" s="1" t="s">
        <v>61</v>
      </c>
    </row>
    <row r="2" spans="1:9" x14ac:dyDescent="0.15">
      <c r="A2" s="3" t="s">
        <v>0</v>
      </c>
      <c r="B2" s="1" t="s">
        <v>61</v>
      </c>
      <c r="C2" s="1" t="s">
        <v>29</v>
      </c>
      <c r="E2" s="1" t="s">
        <v>44</v>
      </c>
      <c r="H2" s="1" t="s">
        <v>71</v>
      </c>
      <c r="I2" s="1">
        <f>COUNTA(A3:A27)</f>
        <v>25</v>
      </c>
    </row>
    <row r="3" spans="1:9" x14ac:dyDescent="0.15">
      <c r="A3" s="4" t="s">
        <v>2</v>
      </c>
      <c r="B3" s="5">
        <v>808222120</v>
      </c>
      <c r="C3" s="1">
        <f>I2</f>
        <v>25</v>
      </c>
      <c r="E3" s="1" t="str">
        <f>IF(MATCH($A3,Scorecard!A:A,0),"","Yes")</f>
        <v/>
      </c>
    </row>
    <row r="4" spans="1:9" x14ac:dyDescent="0.15">
      <c r="A4" s="4" t="s">
        <v>4</v>
      </c>
      <c r="B4" s="5">
        <v>479456250</v>
      </c>
      <c r="C4" s="1">
        <f>C3-1</f>
        <v>24</v>
      </c>
      <c r="E4" s="1" t="str">
        <f>IF(MATCH($A4,Scorecard!A:A,0),"","Yes")</f>
        <v/>
      </c>
    </row>
    <row r="5" spans="1:9" x14ac:dyDescent="0.15">
      <c r="A5" s="4" t="s">
        <v>12</v>
      </c>
      <c r="B5" s="5">
        <v>250739280</v>
      </c>
      <c r="C5" s="1">
        <f t="shared" ref="C5:C27" si="0">C4-1</f>
        <v>23</v>
      </c>
      <c r="E5" s="1" t="str">
        <f>IF(MATCH($A5,Scorecard!A:A,0),"","Yes")</f>
        <v/>
      </c>
    </row>
    <row r="6" spans="1:9" x14ac:dyDescent="0.15">
      <c r="A6" s="4" t="s">
        <v>5</v>
      </c>
      <c r="B6" s="5">
        <v>139082754</v>
      </c>
      <c r="C6" s="1">
        <f t="shared" si="0"/>
        <v>22</v>
      </c>
      <c r="E6" s="1" t="str">
        <f>IF(MATCH($A6,Scorecard!A:A,0),"","Yes")</f>
        <v/>
      </c>
    </row>
    <row r="7" spans="1:9" x14ac:dyDescent="0.15">
      <c r="A7" s="4" t="s">
        <v>30</v>
      </c>
      <c r="B7" s="5">
        <v>112915805</v>
      </c>
      <c r="C7" s="1">
        <f t="shared" si="0"/>
        <v>21</v>
      </c>
      <c r="E7" s="1" t="str">
        <f>IF(MATCH($A7,Scorecard!A:A,0),"","Yes")</f>
        <v/>
      </c>
    </row>
    <row r="8" spans="1:9" x14ac:dyDescent="0.15">
      <c r="A8" s="4" t="s">
        <v>6</v>
      </c>
      <c r="B8" s="5">
        <v>110972880</v>
      </c>
      <c r="C8" s="1">
        <f t="shared" si="0"/>
        <v>20</v>
      </c>
      <c r="E8" s="1" t="str">
        <f>IF(MATCH($A8,Scorecard!A:A,0),"","Yes")</f>
        <v/>
      </c>
    </row>
    <row r="9" spans="1:9" x14ac:dyDescent="0.15">
      <c r="A9" s="4" t="s">
        <v>32</v>
      </c>
      <c r="B9" s="5">
        <v>47190262</v>
      </c>
      <c r="C9" s="1">
        <f t="shared" si="0"/>
        <v>19</v>
      </c>
      <c r="E9" s="1" t="str">
        <f>IF(MATCH($A9,Scorecard!A:A,0),"","Yes")</f>
        <v/>
      </c>
    </row>
    <row r="10" spans="1:9" x14ac:dyDescent="0.15">
      <c r="A10" s="4" t="s">
        <v>9</v>
      </c>
      <c r="B10" s="5">
        <v>36937485</v>
      </c>
      <c r="C10" s="1">
        <f t="shared" si="0"/>
        <v>18</v>
      </c>
      <c r="E10" s="1" t="str">
        <f>IF(MATCH($A10,Scorecard!A:A,0),"","Yes")</f>
        <v/>
      </c>
    </row>
    <row r="11" spans="1:9" x14ac:dyDescent="0.15">
      <c r="A11" s="4" t="s">
        <v>38</v>
      </c>
      <c r="B11" s="5">
        <v>19809604</v>
      </c>
      <c r="C11" s="1">
        <f t="shared" si="0"/>
        <v>17</v>
      </c>
      <c r="E11" s="1" t="str">
        <f>IF(MATCH($A11,Scorecard!A:A,0),"","Yes")</f>
        <v/>
      </c>
    </row>
    <row r="12" spans="1:9" x14ac:dyDescent="0.15">
      <c r="A12" s="4" t="s">
        <v>45</v>
      </c>
      <c r="B12" s="5">
        <v>10024679</v>
      </c>
      <c r="C12" s="1">
        <f t="shared" si="0"/>
        <v>16</v>
      </c>
      <c r="E12" s="1" t="str">
        <f>IF(MATCH($A12,Scorecard!A:A,0),"","Yes")</f>
        <v/>
      </c>
    </row>
    <row r="13" spans="1:9" x14ac:dyDescent="0.15">
      <c r="A13" s="4" t="s">
        <v>46</v>
      </c>
      <c r="B13" s="5">
        <v>6104000</v>
      </c>
      <c r="C13" s="1">
        <f t="shared" si="0"/>
        <v>15</v>
      </c>
      <c r="E13" s="1" t="str">
        <f>IF(MATCH($A13,Scorecard!A:A,0),"","Yes")</f>
        <v/>
      </c>
    </row>
    <row r="14" spans="1:9" x14ac:dyDescent="0.15">
      <c r="A14" s="4" t="s">
        <v>47</v>
      </c>
      <c r="B14" s="5">
        <v>3437616</v>
      </c>
      <c r="C14" s="1">
        <f t="shared" si="0"/>
        <v>14</v>
      </c>
      <c r="E14" s="1" t="str">
        <f>IF(MATCH($A14,Scorecard!A:A,0),"","Yes")</f>
        <v/>
      </c>
    </row>
    <row r="15" spans="1:9" x14ac:dyDescent="0.15">
      <c r="A15" s="4" t="s">
        <v>48</v>
      </c>
      <c r="B15" s="5">
        <v>2714400</v>
      </c>
      <c r="C15" s="1">
        <f t="shared" si="0"/>
        <v>13</v>
      </c>
      <c r="E15" s="1" t="str">
        <f>IF(MATCH($A15,Scorecard!A:A,0),"","Yes")</f>
        <v/>
      </c>
    </row>
    <row r="16" spans="1:9" x14ac:dyDescent="0.15">
      <c r="A16" s="4" t="s">
        <v>49</v>
      </c>
      <c r="B16" s="5">
        <v>2516085</v>
      </c>
      <c r="C16" s="1">
        <f t="shared" si="0"/>
        <v>12</v>
      </c>
      <c r="E16" s="1" t="str">
        <f>IF(MATCH($A16,Scorecard!A:A,0),"","Yes")</f>
        <v/>
      </c>
    </row>
    <row r="17" spans="1:5" x14ac:dyDescent="0.15">
      <c r="A17" s="4" t="s">
        <v>50</v>
      </c>
      <c r="B17" s="5">
        <v>2182410</v>
      </c>
      <c r="C17" s="1">
        <f t="shared" si="0"/>
        <v>11</v>
      </c>
      <c r="E17" s="1" t="str">
        <f>IF(MATCH($A17,Scorecard!A:A,0),"","Yes")</f>
        <v/>
      </c>
    </row>
    <row r="18" spans="1:5" x14ac:dyDescent="0.15">
      <c r="A18" s="4" t="s">
        <v>51</v>
      </c>
      <c r="B18" s="5">
        <v>1232387</v>
      </c>
      <c r="C18" s="1">
        <f t="shared" si="0"/>
        <v>10</v>
      </c>
      <c r="E18" s="1" t="str">
        <f>IF(MATCH($A18,Scorecard!A:A,0),"","Yes")</f>
        <v/>
      </c>
    </row>
    <row r="19" spans="1:5" x14ac:dyDescent="0.15">
      <c r="A19" s="4" t="s">
        <v>52</v>
      </c>
      <c r="B19" s="5">
        <v>957714</v>
      </c>
      <c r="C19" s="1">
        <f t="shared" si="0"/>
        <v>9</v>
      </c>
      <c r="E19" s="1" t="str">
        <f>IF(MATCH($A19,Scorecard!A:A,0),"","Yes")</f>
        <v/>
      </c>
    </row>
    <row r="20" spans="1:5" x14ac:dyDescent="0.15">
      <c r="A20" s="4" t="s">
        <v>53</v>
      </c>
      <c r="B20" s="5">
        <v>918195</v>
      </c>
      <c r="C20" s="1">
        <f t="shared" si="0"/>
        <v>8</v>
      </c>
      <c r="E20" s="1" t="str">
        <f>IF(MATCH($A20,Scorecard!A:A,0),"","Yes")</f>
        <v/>
      </c>
    </row>
    <row r="21" spans="1:5" x14ac:dyDescent="0.15">
      <c r="A21" s="4" t="s">
        <v>54</v>
      </c>
      <c r="B21" s="5">
        <v>802752</v>
      </c>
      <c r="C21" s="1">
        <f t="shared" si="0"/>
        <v>7</v>
      </c>
      <c r="E21" s="1" t="str">
        <f>IF(MATCH($A21,Scorecard!A:A,0),"","Yes")</f>
        <v/>
      </c>
    </row>
    <row r="22" spans="1:5" x14ac:dyDescent="0.15">
      <c r="A22" s="4" t="s">
        <v>55</v>
      </c>
      <c r="B22" s="5">
        <v>719301</v>
      </c>
      <c r="C22" s="1">
        <f t="shared" si="0"/>
        <v>6</v>
      </c>
      <c r="E22" s="1" t="str">
        <f>IF(MATCH($A22,Scorecard!A:A,0),"","Yes")</f>
        <v/>
      </c>
    </row>
    <row r="23" spans="1:5" x14ac:dyDescent="0.15">
      <c r="A23" s="4" t="s">
        <v>56</v>
      </c>
      <c r="B23" s="5">
        <v>90792</v>
      </c>
      <c r="C23" s="1">
        <f t="shared" si="0"/>
        <v>5</v>
      </c>
      <c r="E23" s="1" t="str">
        <f>IF(MATCH($A23,Scorecard!A:A,0),"","Yes")</f>
        <v/>
      </c>
    </row>
    <row r="24" spans="1:5" x14ac:dyDescent="0.15">
      <c r="A24" s="4" t="s">
        <v>57</v>
      </c>
      <c r="B24" s="5">
        <v>53792</v>
      </c>
      <c r="C24" s="1">
        <f t="shared" si="0"/>
        <v>4</v>
      </c>
      <c r="E24" s="1" t="str">
        <f>IF(MATCH($A24,Scorecard!A:A,0),"","Yes")</f>
        <v/>
      </c>
    </row>
    <row r="25" spans="1:5" x14ac:dyDescent="0.15">
      <c r="A25" s="4" t="s">
        <v>58</v>
      </c>
      <c r="B25" s="5">
        <v>300</v>
      </c>
      <c r="C25" s="1">
        <f t="shared" si="0"/>
        <v>3</v>
      </c>
      <c r="E25" s="1" t="str">
        <f>IF(MATCH($A25,Scorecard!A:A,0),"","Yes")</f>
        <v/>
      </c>
    </row>
    <row r="26" spans="1:5" x14ac:dyDescent="0.15">
      <c r="A26" s="4" t="s">
        <v>59</v>
      </c>
      <c r="B26" s="5">
        <v>205</v>
      </c>
      <c r="C26" s="1">
        <f t="shared" si="0"/>
        <v>2</v>
      </c>
      <c r="E26" s="1" t="str">
        <f>IF(MATCH($A26,Scorecard!A:A,0),"","Yes")</f>
        <v/>
      </c>
    </row>
    <row r="27" spans="1:5" x14ac:dyDescent="0.15">
      <c r="A27" s="4" t="s">
        <v>60</v>
      </c>
      <c r="B27" s="5">
        <v>121</v>
      </c>
      <c r="C27" s="1">
        <f t="shared" si="0"/>
        <v>1</v>
      </c>
      <c r="E27" s="1" t="str">
        <f>IF(MATCH($A27,Scorecard!A:A,0),"","Yes")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"/>
  <sheetViews>
    <sheetView workbookViewId="0">
      <selection activeCell="G7" sqref="G7"/>
    </sheetView>
  </sheetViews>
  <sheetFormatPr defaultRowHeight="14.4" x14ac:dyDescent="0.3"/>
  <cols>
    <col min="1" max="1" width="17.88671875" bestFit="1" customWidth="1"/>
    <col min="2" max="2" width="10.5546875" bestFit="1" customWidth="1"/>
    <col min="5" max="5" width="23.109375" bestFit="1" customWidth="1"/>
    <col min="8" max="8" width="14.77734375" bestFit="1" customWidth="1"/>
  </cols>
  <sheetData>
    <row r="1" spans="1:9" x14ac:dyDescent="0.3">
      <c r="A1" t="s">
        <v>69</v>
      </c>
    </row>
    <row r="2" spans="1:9" x14ac:dyDescent="0.3">
      <c r="A2" s="3" t="s">
        <v>0</v>
      </c>
      <c r="B2" t="s">
        <v>27</v>
      </c>
      <c r="C2" t="s">
        <v>29</v>
      </c>
      <c r="E2" t="s">
        <v>72</v>
      </c>
      <c r="H2" t="s">
        <v>62</v>
      </c>
      <c r="I2">
        <f>COUNTA(A3:A27)</f>
        <v>25</v>
      </c>
    </row>
    <row r="3" spans="1:9" x14ac:dyDescent="0.3">
      <c r="A3" s="4" t="s">
        <v>12</v>
      </c>
      <c r="B3" s="5">
        <v>16715830464</v>
      </c>
      <c r="C3">
        <f>I2</f>
        <v>25</v>
      </c>
      <c r="E3" t="str">
        <f>IF(MATCH($A3,Scorecard!A:A,0),"",YES)</f>
        <v/>
      </c>
    </row>
    <row r="4" spans="1:9" x14ac:dyDescent="0.3">
      <c r="A4" s="4" t="s">
        <v>6</v>
      </c>
      <c r="B4" s="5">
        <v>9122966640</v>
      </c>
      <c r="C4">
        <f>C3-1</f>
        <v>24</v>
      </c>
      <c r="E4" t="str">
        <f>IF(MATCH($A4,Scorecard!A:A,0),"",YES)</f>
        <v/>
      </c>
    </row>
    <row r="5" spans="1:9" x14ac:dyDescent="0.3">
      <c r="A5" s="4" t="s">
        <v>4</v>
      </c>
      <c r="B5" s="5">
        <v>6821559750</v>
      </c>
      <c r="C5">
        <f t="shared" ref="C5:C27" si="0">C4-1</f>
        <v>23</v>
      </c>
      <c r="E5" t="str">
        <f>IF(MATCH($A5,Scorecard!A:A,0),"",YES)</f>
        <v/>
      </c>
    </row>
    <row r="6" spans="1:9" x14ac:dyDescent="0.3">
      <c r="A6" s="4" t="s">
        <v>5</v>
      </c>
      <c r="B6" s="5">
        <v>6768677010</v>
      </c>
      <c r="C6">
        <f t="shared" si="0"/>
        <v>22</v>
      </c>
      <c r="E6" t="str">
        <f>IF(MATCH($A6,Scorecard!A:A,0),"",YES)</f>
        <v/>
      </c>
    </row>
    <row r="7" spans="1:9" x14ac:dyDescent="0.3">
      <c r="A7" s="4" t="s">
        <v>2</v>
      </c>
      <c r="B7" s="5">
        <v>5556592388</v>
      </c>
      <c r="C7">
        <f t="shared" si="0"/>
        <v>21</v>
      </c>
      <c r="E7" t="str">
        <f>IF(MATCH($A7,Scorecard!A:A,0),"",YES)</f>
        <v/>
      </c>
    </row>
    <row r="8" spans="1:9" x14ac:dyDescent="0.3">
      <c r="A8" s="4" t="s">
        <v>9</v>
      </c>
      <c r="B8" s="5">
        <v>4495050495</v>
      </c>
      <c r="C8">
        <f t="shared" si="0"/>
        <v>20</v>
      </c>
      <c r="E8" t="str">
        <f>IF(MATCH($A8,Scorecard!A:A,0),"",YES)</f>
        <v/>
      </c>
    </row>
    <row r="9" spans="1:9" x14ac:dyDescent="0.3">
      <c r="A9" s="4" t="s">
        <v>32</v>
      </c>
      <c r="B9" s="5">
        <v>1982184386</v>
      </c>
      <c r="C9">
        <f t="shared" si="0"/>
        <v>19</v>
      </c>
      <c r="E9" t="str">
        <f>IF(MATCH($A9,Scorecard!A:A,0),"",YES)</f>
        <v/>
      </c>
    </row>
    <row r="10" spans="1:9" x14ac:dyDescent="0.3">
      <c r="A10" s="4" t="s">
        <v>11</v>
      </c>
      <c r="B10" s="5">
        <v>1832121524</v>
      </c>
      <c r="C10">
        <f t="shared" si="0"/>
        <v>18</v>
      </c>
      <c r="E10" t="str">
        <f>IF(MATCH($A10,Scorecard!A:A,0),"",YES)</f>
        <v/>
      </c>
    </row>
    <row r="11" spans="1:9" x14ac:dyDescent="0.3">
      <c r="A11" s="4" t="s">
        <v>30</v>
      </c>
      <c r="B11" s="5">
        <v>1784810065</v>
      </c>
      <c r="C11">
        <f t="shared" si="0"/>
        <v>17</v>
      </c>
      <c r="E11" t="str">
        <f>IF(MATCH($A11,Scorecard!A:A,0),"",YES)</f>
        <v/>
      </c>
    </row>
    <row r="12" spans="1:9" x14ac:dyDescent="0.3">
      <c r="A12" s="4" t="s">
        <v>10</v>
      </c>
      <c r="B12" s="5">
        <v>1145530104</v>
      </c>
      <c r="C12">
        <f t="shared" si="0"/>
        <v>16</v>
      </c>
      <c r="E12" t="str">
        <f>IF(MATCH($A12,Scorecard!A:A,0),"",YES)</f>
        <v/>
      </c>
    </row>
    <row r="13" spans="1:9" x14ac:dyDescent="0.3">
      <c r="A13" s="4" t="s">
        <v>7</v>
      </c>
      <c r="B13" s="5">
        <v>1045997148</v>
      </c>
      <c r="C13">
        <f t="shared" si="0"/>
        <v>15</v>
      </c>
      <c r="E13" t="str">
        <f>IF(MATCH($A13,Scorecard!A:A,0),"",YES)</f>
        <v/>
      </c>
    </row>
    <row r="14" spans="1:9" x14ac:dyDescent="0.3">
      <c r="A14" s="4" t="s">
        <v>17</v>
      </c>
      <c r="B14" s="5">
        <v>807807462</v>
      </c>
      <c r="C14">
        <f t="shared" si="0"/>
        <v>14</v>
      </c>
      <c r="E14" t="str">
        <f>IF(MATCH($A14,Scorecard!A:A,0),"",YES)</f>
        <v/>
      </c>
    </row>
    <row r="15" spans="1:9" x14ac:dyDescent="0.3">
      <c r="A15" s="4" t="s">
        <v>14</v>
      </c>
      <c r="B15" s="5">
        <v>764109775</v>
      </c>
      <c r="C15">
        <f t="shared" si="0"/>
        <v>13</v>
      </c>
      <c r="E15" t="str">
        <f>IF(MATCH($A15,Scorecard!A:A,0),"",YES)</f>
        <v/>
      </c>
    </row>
    <row r="16" spans="1:9" x14ac:dyDescent="0.3">
      <c r="A16" s="4" t="s">
        <v>63</v>
      </c>
      <c r="B16" s="5">
        <v>742667380</v>
      </c>
      <c r="C16">
        <f t="shared" si="0"/>
        <v>12</v>
      </c>
      <c r="E16" t="str">
        <f>IF(MATCH($A16,Scorecard!A:A,0),"",YES)</f>
        <v/>
      </c>
    </row>
    <row r="17" spans="1:5" x14ac:dyDescent="0.3">
      <c r="A17" s="4" t="s">
        <v>3</v>
      </c>
      <c r="B17" s="5">
        <v>630028006</v>
      </c>
      <c r="C17">
        <f t="shared" si="0"/>
        <v>11</v>
      </c>
      <c r="E17" t="str">
        <f>IF(MATCH($A17,Scorecard!A:A,0),"",YES)</f>
        <v/>
      </c>
    </row>
    <row r="18" spans="1:5" x14ac:dyDescent="0.3">
      <c r="A18" s="4" t="s">
        <v>64</v>
      </c>
      <c r="B18" s="5">
        <v>536863976</v>
      </c>
      <c r="C18">
        <f t="shared" si="0"/>
        <v>10</v>
      </c>
      <c r="E18" t="str">
        <f>IF(MATCH($A18,Scorecard!A:A,0),"",YES)</f>
        <v/>
      </c>
    </row>
    <row r="19" spans="1:5" x14ac:dyDescent="0.3">
      <c r="A19" s="4" t="s">
        <v>13</v>
      </c>
      <c r="B19" s="5">
        <v>535442694</v>
      </c>
      <c r="C19">
        <f t="shared" si="0"/>
        <v>9</v>
      </c>
      <c r="E19" t="str">
        <f>IF(MATCH($A19,Scorecard!A:A,0),"",YES)</f>
        <v/>
      </c>
    </row>
    <row r="20" spans="1:5" x14ac:dyDescent="0.3">
      <c r="A20" s="4" t="s">
        <v>31</v>
      </c>
      <c r="B20" s="5">
        <v>519740668</v>
      </c>
      <c r="C20">
        <f t="shared" si="0"/>
        <v>8</v>
      </c>
      <c r="E20" t="str">
        <f>IF(MATCH($A20,Scorecard!A:A,0),"",YES)</f>
        <v/>
      </c>
    </row>
    <row r="21" spans="1:5" x14ac:dyDescent="0.3">
      <c r="A21" s="4" t="s">
        <v>46</v>
      </c>
      <c r="B21" s="5">
        <v>486940800</v>
      </c>
      <c r="C21">
        <f t="shared" si="0"/>
        <v>7</v>
      </c>
      <c r="E21" t="str">
        <f>IF(MATCH($A21,Scorecard!A:A,0),"",YES)</f>
        <v/>
      </c>
    </row>
    <row r="22" spans="1:5" x14ac:dyDescent="0.3">
      <c r="A22" s="4" t="s">
        <v>65</v>
      </c>
      <c r="B22" s="5">
        <v>477277888</v>
      </c>
      <c r="C22">
        <f t="shared" si="0"/>
        <v>6</v>
      </c>
      <c r="E22" t="str">
        <f>IF(MATCH($A22,Scorecard!A:A,0),"",YES)</f>
        <v/>
      </c>
    </row>
    <row r="23" spans="1:5" x14ac:dyDescent="0.3">
      <c r="A23" s="4" t="s">
        <v>45</v>
      </c>
      <c r="B23" s="5">
        <v>451216756</v>
      </c>
      <c r="C23">
        <f t="shared" si="0"/>
        <v>5</v>
      </c>
      <c r="E23" t="str">
        <f>IF(MATCH($A23,Scorecard!A:A,0),"",YES)</f>
        <v/>
      </c>
    </row>
    <row r="24" spans="1:5" x14ac:dyDescent="0.3">
      <c r="A24" s="4" t="s">
        <v>66</v>
      </c>
      <c r="B24" s="5">
        <v>435569104</v>
      </c>
      <c r="C24">
        <f t="shared" si="0"/>
        <v>4</v>
      </c>
      <c r="E24" t="str">
        <f>IF(MATCH($A24,Scorecard!A:A,0),"",YES)</f>
        <v/>
      </c>
    </row>
    <row r="25" spans="1:5" x14ac:dyDescent="0.3">
      <c r="A25" s="4" t="s">
        <v>67</v>
      </c>
      <c r="B25" s="5">
        <v>404311960</v>
      </c>
      <c r="C25">
        <f t="shared" si="0"/>
        <v>3</v>
      </c>
      <c r="E25" t="str">
        <f>IF(MATCH($A25,Scorecard!A:A,0),"",YES)</f>
        <v/>
      </c>
    </row>
    <row r="26" spans="1:5" x14ac:dyDescent="0.3">
      <c r="A26" s="4" t="s">
        <v>68</v>
      </c>
      <c r="B26" s="5">
        <v>391154703</v>
      </c>
      <c r="C26">
        <f t="shared" si="0"/>
        <v>2</v>
      </c>
      <c r="E26" t="str">
        <f>IF(MATCH($A26,Scorecard!A:A,0),"",YES)</f>
        <v/>
      </c>
    </row>
    <row r="27" spans="1:5" x14ac:dyDescent="0.3">
      <c r="A27" s="4" t="s">
        <v>23</v>
      </c>
      <c r="B27" s="5">
        <v>378369124</v>
      </c>
      <c r="C27">
        <f t="shared" si="0"/>
        <v>1</v>
      </c>
      <c r="E27" t="str">
        <f>IF(MATCH($A27,Scorecard!A:A,0),"",YES)</f>
        <v/>
      </c>
    </row>
    <row r="28" spans="1:5" x14ac:dyDescent="0.3">
      <c r="E28" t="e">
        <f>IF(MATCH($A28,Scorecard!A:A,0),"",YES)</f>
        <v>#N/A</v>
      </c>
    </row>
    <row r="29" spans="1:5" x14ac:dyDescent="0.3">
      <c r="E29" t="e">
        <f>IF(MATCH($A29,Scorecard!A:A,0),"",YES)</f>
        <v>#N/A</v>
      </c>
    </row>
    <row r="30" spans="1:5" x14ac:dyDescent="0.3">
      <c r="E30" t="e">
        <f>IF(MATCH($A30,Scorecard!A:A,0),"",YES)</f>
        <v>#N/A</v>
      </c>
    </row>
    <row r="31" spans="1:5" x14ac:dyDescent="0.3">
      <c r="E31" t="e">
        <f>IF(MATCH($A31,Scorecard!A:A,0),"",YES)</f>
        <v>#N/A</v>
      </c>
    </row>
    <row r="32" spans="1:5" x14ac:dyDescent="0.3">
      <c r="E32" t="e">
        <f>IF(MATCH($A32,Scorecard!A:A,0),"",YES)</f>
        <v>#N/A</v>
      </c>
    </row>
  </sheetData>
  <autoFilter ref="A2:E2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2"/>
  <sheetViews>
    <sheetView workbookViewId="0">
      <selection activeCell="A26" sqref="A26:A27"/>
    </sheetView>
  </sheetViews>
  <sheetFormatPr defaultRowHeight="14.4" x14ac:dyDescent="0.3"/>
  <cols>
    <col min="1" max="1" width="17.88671875" bestFit="1" customWidth="1"/>
    <col min="2" max="2" width="14.33203125" bestFit="1" customWidth="1"/>
    <col min="5" max="5" width="23.109375" bestFit="1" customWidth="1"/>
    <col min="8" max="8" width="14.77734375" bestFit="1" customWidth="1"/>
  </cols>
  <sheetData>
    <row r="1" spans="1:9" x14ac:dyDescent="0.3">
      <c r="A1" t="s">
        <v>77</v>
      </c>
    </row>
    <row r="2" spans="1:9" x14ac:dyDescent="0.3">
      <c r="A2" s="3" t="s">
        <v>0</v>
      </c>
      <c r="B2" t="s">
        <v>79</v>
      </c>
      <c r="C2" t="s">
        <v>29</v>
      </c>
      <c r="E2" t="s">
        <v>72</v>
      </c>
      <c r="H2" t="s">
        <v>62</v>
      </c>
      <c r="I2">
        <f>COUNTA(A3:A27)</f>
        <v>25</v>
      </c>
    </row>
    <row r="3" spans="1:9" x14ac:dyDescent="0.3">
      <c r="A3" s="4" t="s">
        <v>2</v>
      </c>
      <c r="B3" s="5">
        <v>296854016</v>
      </c>
      <c r="C3">
        <f>I2</f>
        <v>25</v>
      </c>
      <c r="E3" t="str">
        <f>IF(MATCH($A3,Scorecard!A:A,0),"",YES)</f>
        <v/>
      </c>
    </row>
    <row r="4" spans="1:9" x14ac:dyDescent="0.3">
      <c r="A4" s="4" t="s">
        <v>12</v>
      </c>
      <c r="B4" s="5">
        <v>147667536</v>
      </c>
      <c r="C4">
        <f>C3-1</f>
        <v>24</v>
      </c>
      <c r="E4" t="str">
        <f>IF(MATCH($A4,Scorecard!A:A,0),"",YES)</f>
        <v/>
      </c>
    </row>
    <row r="5" spans="1:9" x14ac:dyDescent="0.3">
      <c r="A5" s="4" t="s">
        <v>4</v>
      </c>
      <c r="B5" s="5">
        <v>138900000</v>
      </c>
      <c r="C5">
        <f t="shared" ref="C5:C27" si="0">C4-1</f>
        <v>23</v>
      </c>
      <c r="E5" t="str">
        <f>IF(MATCH($A5,Scorecard!A:A,0),"",YES)</f>
        <v/>
      </c>
    </row>
    <row r="6" spans="1:9" x14ac:dyDescent="0.3">
      <c r="A6" s="4" t="s">
        <v>6</v>
      </c>
      <c r="B6" s="5">
        <v>85020000</v>
      </c>
      <c r="C6">
        <f t="shared" si="0"/>
        <v>22</v>
      </c>
      <c r="E6" t="str">
        <f>IF(MATCH($A6,Scorecard!A:A,0),"",YES)</f>
        <v/>
      </c>
    </row>
    <row r="7" spans="1:9" x14ac:dyDescent="0.3">
      <c r="A7" s="4" t="s">
        <v>5</v>
      </c>
      <c r="B7" s="5">
        <v>76796472</v>
      </c>
      <c r="C7">
        <f t="shared" si="0"/>
        <v>21</v>
      </c>
      <c r="E7" t="str">
        <f>IF(MATCH($A7,Scorecard!A:A,0),"",YES)</f>
        <v/>
      </c>
    </row>
    <row r="8" spans="1:9" x14ac:dyDescent="0.3">
      <c r="A8" s="4" t="s">
        <v>11</v>
      </c>
      <c r="B8" s="5">
        <v>61830719</v>
      </c>
      <c r="C8">
        <f t="shared" si="0"/>
        <v>20</v>
      </c>
      <c r="E8" t="str">
        <f>IF(MATCH($A8,Scorecard!A:A,0),"",YES)</f>
        <v/>
      </c>
    </row>
    <row r="9" spans="1:9" x14ac:dyDescent="0.3">
      <c r="A9" s="4" t="s">
        <v>31</v>
      </c>
      <c r="B9" s="5">
        <v>51849216</v>
      </c>
      <c r="C9">
        <f t="shared" si="0"/>
        <v>19</v>
      </c>
      <c r="E9" t="str">
        <f>IF(MATCH($A9,Scorecard!A:A,0),"",YES)</f>
        <v/>
      </c>
    </row>
    <row r="10" spans="1:9" x14ac:dyDescent="0.3">
      <c r="A10" s="4" t="s">
        <v>14</v>
      </c>
      <c r="B10" s="5">
        <v>51640875</v>
      </c>
      <c r="C10">
        <f t="shared" si="0"/>
        <v>18</v>
      </c>
      <c r="E10" t="str">
        <f>IF(MATCH($A10,Scorecard!A:A,0),"",YES)</f>
        <v/>
      </c>
    </row>
    <row r="11" spans="1:9" x14ac:dyDescent="0.3">
      <c r="A11" s="4" t="s">
        <v>30</v>
      </c>
      <c r="B11" s="5">
        <v>48164381</v>
      </c>
      <c r="C11">
        <f t="shared" si="0"/>
        <v>17</v>
      </c>
      <c r="E11" t="str">
        <f>IF(MATCH($A11,Scorecard!A:A,0),"",YES)</f>
        <v/>
      </c>
    </row>
    <row r="12" spans="1:9" x14ac:dyDescent="0.3">
      <c r="A12" s="4" t="s">
        <v>13</v>
      </c>
      <c r="B12" s="5">
        <v>34823451</v>
      </c>
      <c r="C12">
        <f t="shared" si="0"/>
        <v>16</v>
      </c>
      <c r="E12" t="str">
        <f>IF(MATCH($A12,Scorecard!A:A,0),"",YES)</f>
        <v/>
      </c>
    </row>
    <row r="13" spans="1:9" x14ac:dyDescent="0.3">
      <c r="A13" s="4" t="s">
        <v>9</v>
      </c>
      <c r="B13" s="5">
        <v>31672875</v>
      </c>
      <c r="C13">
        <f t="shared" si="0"/>
        <v>15</v>
      </c>
      <c r="E13" t="str">
        <f>IF(MATCH($A13,Scorecard!A:A,0),"",YES)</f>
        <v/>
      </c>
    </row>
    <row r="14" spans="1:9" x14ac:dyDescent="0.3">
      <c r="A14" s="4" t="s">
        <v>19</v>
      </c>
      <c r="B14" s="5">
        <v>27208686</v>
      </c>
      <c r="C14">
        <f t="shared" si="0"/>
        <v>14</v>
      </c>
      <c r="E14" t="str">
        <f>IF(MATCH($A14,Scorecard!A:A,0),"",YES)</f>
        <v/>
      </c>
    </row>
    <row r="15" spans="1:9" x14ac:dyDescent="0.3">
      <c r="A15" s="4" t="s">
        <v>32</v>
      </c>
      <c r="B15" s="5">
        <v>27075475</v>
      </c>
      <c r="C15">
        <f t="shared" si="0"/>
        <v>13</v>
      </c>
      <c r="E15" t="str">
        <f>IF(MATCH($A15,Scorecard!A:A,0),"",YES)</f>
        <v/>
      </c>
    </row>
    <row r="16" spans="1:9" x14ac:dyDescent="0.3">
      <c r="A16" s="4" t="s">
        <v>33</v>
      </c>
      <c r="B16" s="5">
        <v>23693250</v>
      </c>
      <c r="C16">
        <f t="shared" si="0"/>
        <v>12</v>
      </c>
      <c r="E16" t="str">
        <f>IF(MATCH($A16,Scorecard!A:A,0),"",YES)</f>
        <v/>
      </c>
    </row>
    <row r="17" spans="1:5" x14ac:dyDescent="0.3">
      <c r="A17" s="4" t="s">
        <v>7</v>
      </c>
      <c r="B17" s="5">
        <v>23443476</v>
      </c>
      <c r="C17">
        <f t="shared" si="0"/>
        <v>11</v>
      </c>
      <c r="E17" t="str">
        <f>IF(MATCH($A17,Scorecard!A:A,0),"",YES)</f>
        <v/>
      </c>
    </row>
    <row r="18" spans="1:5" x14ac:dyDescent="0.3">
      <c r="A18" s="4" t="s">
        <v>25</v>
      </c>
      <c r="B18" s="5">
        <v>20204513</v>
      </c>
      <c r="C18">
        <f t="shared" si="0"/>
        <v>10</v>
      </c>
      <c r="E18" t="str">
        <f>IF(MATCH($A18,Scorecard!A:A,0),"",YES)</f>
        <v/>
      </c>
    </row>
    <row r="19" spans="1:5" x14ac:dyDescent="0.3">
      <c r="A19" s="4" t="s">
        <v>10</v>
      </c>
      <c r="B19" s="5">
        <v>19980120</v>
      </c>
      <c r="C19">
        <f t="shared" si="0"/>
        <v>9</v>
      </c>
      <c r="E19" t="str">
        <f>IF(MATCH($A19,Scorecard!A:A,0),"",YES)</f>
        <v/>
      </c>
    </row>
    <row r="20" spans="1:5" x14ac:dyDescent="0.3">
      <c r="A20" s="4" t="s">
        <v>34</v>
      </c>
      <c r="B20" s="5">
        <v>19086672</v>
      </c>
      <c r="C20">
        <f t="shared" si="0"/>
        <v>8</v>
      </c>
      <c r="E20" t="str">
        <f>IF(MATCH($A20,Scorecard!A:A,0),"",YES)</f>
        <v/>
      </c>
    </row>
    <row r="21" spans="1:5" x14ac:dyDescent="0.3">
      <c r="A21" s="4" t="s">
        <v>35</v>
      </c>
      <c r="B21" s="5">
        <v>13717368</v>
      </c>
      <c r="C21">
        <f t="shared" si="0"/>
        <v>7</v>
      </c>
      <c r="E21" t="str">
        <f>IF(MATCH($A21,Scorecard!A:A,0),"",YES)</f>
        <v/>
      </c>
    </row>
    <row r="22" spans="1:5" x14ac:dyDescent="0.3">
      <c r="A22" s="4" t="s">
        <v>15</v>
      </c>
      <c r="B22" s="5">
        <v>12545312</v>
      </c>
      <c r="C22">
        <f t="shared" si="0"/>
        <v>6</v>
      </c>
      <c r="E22" t="str">
        <f>IF(MATCH($A22,Scorecard!A:A,0),"",YES)</f>
        <v/>
      </c>
    </row>
    <row r="23" spans="1:5" x14ac:dyDescent="0.3">
      <c r="A23" s="4" t="s">
        <v>3</v>
      </c>
      <c r="B23" s="5">
        <v>9102063</v>
      </c>
      <c r="C23">
        <f t="shared" si="0"/>
        <v>5</v>
      </c>
      <c r="E23" t="str">
        <f>IF(MATCH($A23,Scorecard!A:A,0),"",YES)</f>
        <v/>
      </c>
    </row>
    <row r="24" spans="1:5" x14ac:dyDescent="0.3">
      <c r="A24" s="4" t="s">
        <v>37</v>
      </c>
      <c r="B24" s="5">
        <v>8981780</v>
      </c>
      <c r="C24">
        <f t="shared" si="0"/>
        <v>4</v>
      </c>
      <c r="E24" t="str">
        <f>IF(MATCH($A24,Scorecard!A:A,0),"",YES)</f>
        <v/>
      </c>
    </row>
    <row r="25" spans="1:5" x14ac:dyDescent="0.3">
      <c r="A25" s="4" t="s">
        <v>16</v>
      </c>
      <c r="B25" s="5">
        <v>8838400</v>
      </c>
      <c r="C25">
        <f t="shared" si="0"/>
        <v>3</v>
      </c>
      <c r="E25" t="str">
        <f>IF(MATCH($A25,Scorecard!A:A,0),"",YES)</f>
        <v/>
      </c>
    </row>
    <row r="26" spans="1:5" x14ac:dyDescent="0.3">
      <c r="A26" s="4" t="s">
        <v>75</v>
      </c>
      <c r="B26" s="5">
        <v>8729532</v>
      </c>
      <c r="C26">
        <f t="shared" si="0"/>
        <v>2</v>
      </c>
      <c r="E26" t="str">
        <f>IF(MATCH($A26,Scorecard!A:A,0),"",YES)</f>
        <v/>
      </c>
    </row>
    <row r="27" spans="1:5" x14ac:dyDescent="0.3">
      <c r="A27" s="4" t="s">
        <v>76</v>
      </c>
      <c r="B27" s="5">
        <v>8687192</v>
      </c>
      <c r="C27">
        <f t="shared" si="0"/>
        <v>1</v>
      </c>
      <c r="E27" t="str">
        <f>IF(MATCH($A27,Scorecard!A:A,0),"",YES)</f>
        <v/>
      </c>
    </row>
    <row r="28" spans="1:5" x14ac:dyDescent="0.3">
      <c r="E28" t="e">
        <f>IF(MATCH($A28,Scorecard!A:A,0),"",YES)</f>
        <v>#N/A</v>
      </c>
    </row>
    <row r="29" spans="1:5" x14ac:dyDescent="0.3">
      <c r="E29" t="e">
        <f>IF(MATCH($A29,Scorecard!A:A,0),"",YES)</f>
        <v>#N/A</v>
      </c>
    </row>
    <row r="30" spans="1:5" x14ac:dyDescent="0.3">
      <c r="E30" t="e">
        <f>IF(MATCH($A30,Scorecard!A:A,0),"",YES)</f>
        <v>#N/A</v>
      </c>
    </row>
    <row r="31" spans="1:5" x14ac:dyDescent="0.3">
      <c r="E31" t="e">
        <f>IF(MATCH($A31,Scorecard!A:A,0),"",YES)</f>
        <v>#N/A</v>
      </c>
    </row>
    <row r="32" spans="1:5" x14ac:dyDescent="0.3">
      <c r="E32" t="e">
        <f>IF(MATCH($A32,Scorecard!A:A,0),"",YES)</f>
        <v>#N/A</v>
      </c>
    </row>
  </sheetData>
  <autoFilter ref="A2:E27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dex_format">
                <anchor moveWithCells="1" sizeWithCells="1">
                  <from>
                    <xdr:col>14</xdr:col>
                    <xdr:colOff>7620</xdr:colOff>
                    <xdr:row>1</xdr:row>
                    <xdr:rowOff>7620</xdr:rowOff>
                  </from>
                  <to>
                    <xdr:col>16</xdr:col>
                    <xdr:colOff>601980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27"/>
  <sheetViews>
    <sheetView workbookViewId="0">
      <selection activeCell="C2" sqref="C2:I33"/>
    </sheetView>
  </sheetViews>
  <sheetFormatPr defaultRowHeight="14.4" x14ac:dyDescent="0.3"/>
  <cols>
    <col min="1" max="1" width="17.88671875" bestFit="1" customWidth="1"/>
    <col min="2" max="2" width="12.6640625" bestFit="1" customWidth="1"/>
    <col min="5" max="5" width="23.109375" bestFit="1" customWidth="1"/>
    <col min="8" max="8" width="14.77734375" bestFit="1" customWidth="1"/>
  </cols>
  <sheetData>
    <row r="1" spans="1:2" x14ac:dyDescent="0.3">
      <c r="A1" t="s">
        <v>73</v>
      </c>
    </row>
    <row r="2" spans="1:2" x14ac:dyDescent="0.3">
      <c r="A2" s="3" t="s">
        <v>78</v>
      </c>
      <c r="B2" t="s">
        <v>74</v>
      </c>
    </row>
    <row r="3" spans="1:2" x14ac:dyDescent="0.3">
      <c r="A3" s="4"/>
      <c r="B3" s="5"/>
    </row>
    <row r="4" spans="1:2" x14ac:dyDescent="0.3">
      <c r="A4" s="4"/>
      <c r="B4" s="5"/>
    </row>
    <row r="5" spans="1:2" x14ac:dyDescent="0.3">
      <c r="A5" s="4"/>
      <c r="B5" s="5"/>
    </row>
    <row r="6" spans="1:2" x14ac:dyDescent="0.3">
      <c r="A6" s="4"/>
      <c r="B6" s="5"/>
    </row>
    <row r="7" spans="1:2" x14ac:dyDescent="0.3">
      <c r="A7" s="4"/>
      <c r="B7" s="5"/>
    </row>
    <row r="8" spans="1:2" x14ac:dyDescent="0.3">
      <c r="A8" s="4"/>
      <c r="B8" s="5"/>
    </row>
    <row r="9" spans="1:2" x14ac:dyDescent="0.3">
      <c r="A9" s="4"/>
      <c r="B9" s="5"/>
    </row>
    <row r="10" spans="1:2" x14ac:dyDescent="0.3">
      <c r="A10" s="4"/>
      <c r="B10" s="5"/>
    </row>
    <row r="11" spans="1:2" x14ac:dyDescent="0.3">
      <c r="A11" s="4"/>
      <c r="B11" s="5"/>
    </row>
    <row r="12" spans="1:2" x14ac:dyDescent="0.3">
      <c r="A12" s="4"/>
      <c r="B12" s="5"/>
    </row>
    <row r="13" spans="1:2" x14ac:dyDescent="0.3">
      <c r="A13" s="4"/>
      <c r="B13" s="5"/>
    </row>
    <row r="14" spans="1:2" x14ac:dyDescent="0.3">
      <c r="A14" s="4"/>
      <c r="B14" s="5"/>
    </row>
    <row r="15" spans="1:2" x14ac:dyDescent="0.3">
      <c r="A15" s="4"/>
      <c r="B15" s="5"/>
    </row>
    <row r="16" spans="1:2" x14ac:dyDescent="0.3">
      <c r="A16" s="4"/>
      <c r="B16" s="5"/>
    </row>
    <row r="17" spans="1:2" x14ac:dyDescent="0.3">
      <c r="A17" s="4"/>
      <c r="B17" s="5"/>
    </row>
    <row r="18" spans="1:2" x14ac:dyDescent="0.3">
      <c r="A18" s="4"/>
      <c r="B18" s="5"/>
    </row>
    <row r="19" spans="1:2" x14ac:dyDescent="0.3">
      <c r="A19" s="4"/>
      <c r="B19" s="5"/>
    </row>
    <row r="20" spans="1:2" x14ac:dyDescent="0.3">
      <c r="A20" s="4"/>
      <c r="B20" s="5"/>
    </row>
    <row r="21" spans="1:2" x14ac:dyDescent="0.3">
      <c r="A21" s="4"/>
      <c r="B21" s="5"/>
    </row>
    <row r="22" spans="1:2" x14ac:dyDescent="0.3">
      <c r="A22" s="4"/>
      <c r="B22" s="5"/>
    </row>
    <row r="23" spans="1:2" x14ac:dyDescent="0.3">
      <c r="A23" s="4"/>
      <c r="B23" s="5"/>
    </row>
    <row r="24" spans="1:2" x14ac:dyDescent="0.3">
      <c r="A24" s="4"/>
      <c r="B24" s="5"/>
    </row>
    <row r="25" spans="1:2" x14ac:dyDescent="0.3">
      <c r="A25" s="4"/>
      <c r="B25" s="5"/>
    </row>
    <row r="26" spans="1:2" x14ac:dyDescent="0.3">
      <c r="A26" s="4"/>
      <c r="B26" s="5"/>
    </row>
    <row r="27" spans="1:2" x14ac:dyDescent="0.3">
      <c r="A27" s="4"/>
      <c r="B27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dex_format">
                <anchor moveWithCells="1" sizeWithCells="1">
                  <from>
                    <xdr:col>14</xdr:col>
                    <xdr:colOff>7620</xdr:colOff>
                    <xdr:row>1</xdr:row>
                    <xdr:rowOff>7620</xdr:rowOff>
                  </from>
                  <to>
                    <xdr:col>16</xdr:col>
                    <xdr:colOff>601980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Results</vt:lpstr>
      <vt:lpstr>Scorecard</vt:lpstr>
      <vt:lpstr>Index - Oldest Map</vt:lpstr>
      <vt:lpstr>Index-Most Players</vt:lpstr>
      <vt:lpstr>Index-Most Clears</vt:lpstr>
      <vt:lpstr>Index-Most Attempts</vt:lpstr>
      <vt:lpstr>Most Stars</vt:lpstr>
      <vt:lpstr>Master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GSUL User</dc:creator>
  <cp:lastModifiedBy>GSUL User</cp:lastModifiedBy>
  <dcterms:created xsi:type="dcterms:W3CDTF">2021-01-04T00:04:47Z</dcterms:created>
  <dcterms:modified xsi:type="dcterms:W3CDTF">2021-01-07T09:20:48Z</dcterms:modified>
</cp:coreProperties>
</file>